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xr:revisionPtr revIDLastSave="600" documentId="8_{5C5FEDE5-FD26-4342-A814-DFA6B4E2D4AE}" xr6:coauthVersionLast="45" xr6:coauthVersionMax="45" xr10:uidLastSave="{CD1931E7-318D-440F-ADA7-A2A42711C780}"/>
  <bookViews>
    <workbookView xWindow="-108" yWindow="-108" windowWidth="23256" windowHeight="12576" tabRatio="869" xr2:uid="{5DA5B2F4-7ABC-42EE-B588-73842B475A7E}"/>
  </bookViews>
  <sheets>
    <sheet name="Sheet1" sheetId="1" r:id="rId1"/>
    <sheet name="Frequency Arrival and Service" sheetId="2" r:id="rId2"/>
    <sheet name="Job Production Tutorial Q2" sheetId="8" r:id="rId3"/>
    <sheet name="Job Production Tutorial Q2 (2)" sheetId="9" r:id="rId4"/>
    <sheet name="Frozen Example" sheetId="4" r:id="rId5"/>
    <sheet name="Coin Toss" sheetId="5" r:id="rId6"/>
    <sheet name="Dice" sheetId="6" r:id="rId7"/>
    <sheet name="Uniform Arrivals and Service" sheetId="3" r:id="rId8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1" l="1"/>
  <c r="B10" i="1"/>
  <c r="E10" i="1" s="1"/>
  <c r="D10" i="1" l="1"/>
  <c r="B11" i="1" s="1"/>
  <c r="M11" i="9"/>
  <c r="J9" i="9"/>
  <c r="T7" i="9"/>
  <c r="Q7" i="9"/>
  <c r="U6" i="9"/>
  <c r="U63" i="9" s="1"/>
  <c r="D63" i="9" s="1"/>
  <c r="T6" i="9"/>
  <c r="R6" i="9"/>
  <c r="R60" i="9" s="1"/>
  <c r="B60" i="9" s="1"/>
  <c r="Q6" i="9"/>
  <c r="U5" i="9"/>
  <c r="T5" i="9"/>
  <c r="R5" i="9"/>
  <c r="R148" i="9" s="1"/>
  <c r="B148" i="9" s="1"/>
  <c r="Q5" i="9"/>
  <c r="U4" i="9"/>
  <c r="T4" i="9"/>
  <c r="R4" i="9"/>
  <c r="R76" i="9" s="1"/>
  <c r="B76" i="9" s="1"/>
  <c r="Q4" i="9"/>
  <c r="R63" i="9" s="1"/>
  <c r="B63" i="9" s="1"/>
  <c r="U3" i="9"/>
  <c r="R3" i="9"/>
  <c r="U4" i="8"/>
  <c r="U5" i="8"/>
  <c r="U104" i="8" s="1"/>
  <c r="D104" i="8" s="1"/>
  <c r="U6" i="8"/>
  <c r="U3" i="8"/>
  <c r="U96" i="8" s="1"/>
  <c r="D96" i="8" s="1"/>
  <c r="R6" i="8"/>
  <c r="R5" i="8"/>
  <c r="R4" i="8"/>
  <c r="R3" i="8"/>
  <c r="U88" i="8"/>
  <c r="D88" i="8" s="1"/>
  <c r="M11" i="8"/>
  <c r="J9" i="8"/>
  <c r="T7" i="8"/>
  <c r="Q7" i="8"/>
  <c r="T6" i="8"/>
  <c r="U103" i="8" s="1"/>
  <c r="D103" i="8" s="1"/>
  <c r="Q6" i="8"/>
  <c r="T5" i="8"/>
  <c r="Q5" i="8"/>
  <c r="T4" i="8"/>
  <c r="Q4" i="8"/>
  <c r="A2" i="6"/>
  <c r="A3" i="6"/>
  <c r="A4" i="5"/>
  <c r="A3" i="5"/>
  <c r="A2" i="5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F11" i="1" l="1"/>
  <c r="E11" i="1"/>
  <c r="D11" i="1"/>
  <c r="B12" i="1" s="1"/>
  <c r="U80" i="8"/>
  <c r="D80" i="8" s="1"/>
  <c r="U51" i="9"/>
  <c r="D51" i="9" s="1"/>
  <c r="U116" i="9"/>
  <c r="D116" i="9" s="1"/>
  <c r="U39" i="9"/>
  <c r="D39" i="9" s="1"/>
  <c r="R20" i="9"/>
  <c r="B20" i="9" s="1"/>
  <c r="R28" i="9"/>
  <c r="B28" i="9" s="1"/>
  <c r="R36" i="9"/>
  <c r="B36" i="9" s="1"/>
  <c r="R44" i="9"/>
  <c r="B44" i="9" s="1"/>
  <c r="R52" i="9"/>
  <c r="B52" i="9" s="1"/>
  <c r="R71" i="9"/>
  <c r="B71" i="9" s="1"/>
  <c r="R77" i="9"/>
  <c r="B77" i="9" s="1"/>
  <c r="R88" i="9"/>
  <c r="B88" i="9" s="1"/>
  <c r="R59" i="9"/>
  <c r="B59" i="9" s="1"/>
  <c r="R23" i="9"/>
  <c r="B23" i="9" s="1"/>
  <c r="R31" i="9"/>
  <c r="B31" i="9" s="1"/>
  <c r="R39" i="9"/>
  <c r="B39" i="9" s="1"/>
  <c r="R47" i="9"/>
  <c r="B47" i="9" s="1"/>
  <c r="R55" i="9"/>
  <c r="B55" i="9" s="1"/>
  <c r="R64" i="9"/>
  <c r="B64" i="9" s="1"/>
  <c r="R72" i="9"/>
  <c r="B72" i="9" s="1"/>
  <c r="R80" i="9"/>
  <c r="B80" i="9" s="1"/>
  <c r="R106" i="9"/>
  <c r="B106" i="9" s="1"/>
  <c r="R24" i="9"/>
  <c r="B24" i="9" s="1"/>
  <c r="R32" i="9"/>
  <c r="B32" i="9" s="1"/>
  <c r="R40" i="9"/>
  <c r="B40" i="9" s="1"/>
  <c r="R48" i="9"/>
  <c r="B48" i="9" s="1"/>
  <c r="R56" i="9"/>
  <c r="B56" i="9" s="1"/>
  <c r="R67" i="9"/>
  <c r="B67" i="9" s="1"/>
  <c r="R75" i="9"/>
  <c r="B75" i="9" s="1"/>
  <c r="R81" i="9"/>
  <c r="B81" i="9" s="1"/>
  <c r="R109" i="9"/>
  <c r="B109" i="9" s="1"/>
  <c r="R19" i="9"/>
  <c r="B19" i="9" s="1"/>
  <c r="R27" i="9"/>
  <c r="B27" i="9" s="1"/>
  <c r="R35" i="9"/>
  <c r="B35" i="9" s="1"/>
  <c r="R43" i="9"/>
  <c r="B43" i="9" s="1"/>
  <c r="R51" i="9"/>
  <c r="B51" i="9" s="1"/>
  <c r="R68" i="9"/>
  <c r="B68" i="9" s="1"/>
  <c r="R84" i="9"/>
  <c r="B84" i="9" s="1"/>
  <c r="U27" i="9"/>
  <c r="D27" i="9" s="1"/>
  <c r="U35" i="9"/>
  <c r="D35" i="9" s="1"/>
  <c r="U43" i="9"/>
  <c r="D43" i="9" s="1"/>
  <c r="U71" i="9"/>
  <c r="D71" i="9" s="1"/>
  <c r="U95" i="9"/>
  <c r="D95" i="9" s="1"/>
  <c r="U23" i="9"/>
  <c r="D23" i="9" s="1"/>
  <c r="U31" i="9"/>
  <c r="D31" i="9" s="1"/>
  <c r="U47" i="9"/>
  <c r="D47" i="9" s="1"/>
  <c r="U55" i="9"/>
  <c r="D55" i="9" s="1"/>
  <c r="U97" i="9"/>
  <c r="D97" i="9" s="1"/>
  <c r="U155" i="9"/>
  <c r="D155" i="9" s="1"/>
  <c r="U59" i="9"/>
  <c r="D59" i="9" s="1"/>
  <c r="U67" i="9"/>
  <c r="D67" i="9" s="1"/>
  <c r="U75" i="9"/>
  <c r="D75" i="9" s="1"/>
  <c r="U19" i="9"/>
  <c r="D19" i="9" s="1"/>
  <c r="R159" i="9"/>
  <c r="B159" i="9" s="1"/>
  <c r="R155" i="9"/>
  <c r="B155" i="9" s="1"/>
  <c r="R151" i="9"/>
  <c r="B151" i="9" s="1"/>
  <c r="R147" i="9"/>
  <c r="B147" i="9" s="1"/>
  <c r="R143" i="9"/>
  <c r="B143" i="9" s="1"/>
  <c r="R139" i="9"/>
  <c r="B139" i="9" s="1"/>
  <c r="R135" i="9"/>
  <c r="B135" i="9" s="1"/>
  <c r="R131" i="9"/>
  <c r="B131" i="9" s="1"/>
  <c r="R127" i="9"/>
  <c r="B127" i="9" s="1"/>
  <c r="R162" i="9"/>
  <c r="B162" i="9" s="1"/>
  <c r="R158" i="9"/>
  <c r="B158" i="9" s="1"/>
  <c r="R154" i="9"/>
  <c r="B154" i="9" s="1"/>
  <c r="R150" i="9"/>
  <c r="B150" i="9" s="1"/>
  <c r="R146" i="9"/>
  <c r="B146" i="9" s="1"/>
  <c r="R142" i="9"/>
  <c r="B142" i="9" s="1"/>
  <c r="R138" i="9"/>
  <c r="B138" i="9" s="1"/>
  <c r="R134" i="9"/>
  <c r="B134" i="9" s="1"/>
  <c r="R130" i="9"/>
  <c r="B130" i="9" s="1"/>
  <c r="R126" i="9"/>
  <c r="B126" i="9" s="1"/>
  <c r="R161" i="9"/>
  <c r="B161" i="9" s="1"/>
  <c r="R157" i="9"/>
  <c r="B157" i="9" s="1"/>
  <c r="R153" i="9"/>
  <c r="B153" i="9" s="1"/>
  <c r="R149" i="9"/>
  <c r="B149" i="9" s="1"/>
  <c r="R145" i="9"/>
  <c r="B145" i="9" s="1"/>
  <c r="R141" i="9"/>
  <c r="B141" i="9" s="1"/>
  <c r="R137" i="9"/>
  <c r="B137" i="9" s="1"/>
  <c r="R133" i="9"/>
  <c r="B133" i="9" s="1"/>
  <c r="R129" i="9"/>
  <c r="B129" i="9" s="1"/>
  <c r="R125" i="9"/>
  <c r="B125" i="9" s="1"/>
  <c r="R160" i="9"/>
  <c r="B160" i="9" s="1"/>
  <c r="R144" i="9"/>
  <c r="B144" i="9" s="1"/>
  <c r="R128" i="9"/>
  <c r="B128" i="9" s="1"/>
  <c r="R124" i="9"/>
  <c r="B124" i="9" s="1"/>
  <c r="R120" i="9"/>
  <c r="B120" i="9" s="1"/>
  <c r="R156" i="9"/>
  <c r="B156" i="9" s="1"/>
  <c r="R140" i="9"/>
  <c r="B140" i="9" s="1"/>
  <c r="R123" i="9"/>
  <c r="B123" i="9" s="1"/>
  <c r="R119" i="9"/>
  <c r="B119" i="9" s="1"/>
  <c r="R115" i="9"/>
  <c r="B115" i="9" s="1"/>
  <c r="R111" i="9"/>
  <c r="B111" i="9" s="1"/>
  <c r="R107" i="9"/>
  <c r="B107" i="9" s="1"/>
  <c r="R103" i="9"/>
  <c r="B103" i="9" s="1"/>
  <c r="R99" i="9"/>
  <c r="B99" i="9" s="1"/>
  <c r="R136" i="9"/>
  <c r="B136" i="9" s="1"/>
  <c r="R122" i="9"/>
  <c r="B122" i="9" s="1"/>
  <c r="R116" i="9"/>
  <c r="B116" i="9" s="1"/>
  <c r="R113" i="9"/>
  <c r="B113" i="9" s="1"/>
  <c r="R110" i="9"/>
  <c r="B110" i="9" s="1"/>
  <c r="R100" i="9"/>
  <c r="B100" i="9" s="1"/>
  <c r="R97" i="9"/>
  <c r="B97" i="9" s="1"/>
  <c r="R95" i="9"/>
  <c r="B95" i="9" s="1"/>
  <c r="R91" i="9"/>
  <c r="B91" i="9" s="1"/>
  <c r="R87" i="9"/>
  <c r="B87" i="9" s="1"/>
  <c r="R83" i="9"/>
  <c r="B83" i="9" s="1"/>
  <c r="R132" i="9"/>
  <c r="B132" i="9" s="1"/>
  <c r="R121" i="9"/>
  <c r="B121" i="9" s="1"/>
  <c r="R114" i="9"/>
  <c r="B114" i="9" s="1"/>
  <c r="R104" i="9"/>
  <c r="B104" i="9" s="1"/>
  <c r="R101" i="9"/>
  <c r="B101" i="9" s="1"/>
  <c r="R98" i="9"/>
  <c r="B98" i="9" s="1"/>
  <c r="R94" i="9"/>
  <c r="B94" i="9" s="1"/>
  <c r="R90" i="9"/>
  <c r="B90" i="9" s="1"/>
  <c r="R86" i="9"/>
  <c r="B86" i="9" s="1"/>
  <c r="R82" i="9"/>
  <c r="B82" i="9" s="1"/>
  <c r="R78" i="9"/>
  <c r="B78" i="9" s="1"/>
  <c r="R152" i="9"/>
  <c r="B152" i="9" s="1"/>
  <c r="R118" i="9"/>
  <c r="B118" i="9" s="1"/>
  <c r="R108" i="9"/>
  <c r="B108" i="9" s="1"/>
  <c r="R105" i="9"/>
  <c r="B105" i="9" s="1"/>
  <c r="R102" i="9"/>
  <c r="B102" i="9" s="1"/>
  <c r="R93" i="9"/>
  <c r="B93" i="9" s="1"/>
  <c r="R89" i="9"/>
  <c r="B89" i="9" s="1"/>
  <c r="R85" i="9"/>
  <c r="B85" i="9" s="1"/>
  <c r="M14" i="9"/>
  <c r="R17" i="9"/>
  <c r="B17" i="9" s="1"/>
  <c r="U20" i="9"/>
  <c r="D20" i="9" s="1"/>
  <c r="R21" i="9"/>
  <c r="B21" i="9" s="1"/>
  <c r="U24" i="9"/>
  <c r="D24" i="9" s="1"/>
  <c r="R25" i="9"/>
  <c r="B25" i="9" s="1"/>
  <c r="U28" i="9"/>
  <c r="D28" i="9" s="1"/>
  <c r="R29" i="9"/>
  <c r="B29" i="9" s="1"/>
  <c r="U32" i="9"/>
  <c r="D32" i="9" s="1"/>
  <c r="R33" i="9"/>
  <c r="B33" i="9" s="1"/>
  <c r="U36" i="9"/>
  <c r="D36" i="9" s="1"/>
  <c r="R37" i="9"/>
  <c r="B37" i="9" s="1"/>
  <c r="U40" i="9"/>
  <c r="D40" i="9" s="1"/>
  <c r="R41" i="9"/>
  <c r="B41" i="9" s="1"/>
  <c r="U44" i="9"/>
  <c r="D44" i="9" s="1"/>
  <c r="R45" i="9"/>
  <c r="B45" i="9" s="1"/>
  <c r="U48" i="9"/>
  <c r="D48" i="9" s="1"/>
  <c r="R49" i="9"/>
  <c r="B49" i="9" s="1"/>
  <c r="U52" i="9"/>
  <c r="D52" i="9" s="1"/>
  <c r="R53" i="9"/>
  <c r="B53" i="9" s="1"/>
  <c r="U56" i="9"/>
  <c r="D56" i="9" s="1"/>
  <c r="R57" i="9"/>
  <c r="B57" i="9" s="1"/>
  <c r="U60" i="9"/>
  <c r="D60" i="9" s="1"/>
  <c r="R61" i="9"/>
  <c r="B61" i="9" s="1"/>
  <c r="U64" i="9"/>
  <c r="D64" i="9" s="1"/>
  <c r="R65" i="9"/>
  <c r="B65" i="9" s="1"/>
  <c r="U68" i="9"/>
  <c r="D68" i="9" s="1"/>
  <c r="R69" i="9"/>
  <c r="B69" i="9" s="1"/>
  <c r="U72" i="9"/>
  <c r="D72" i="9" s="1"/>
  <c r="R73" i="9"/>
  <c r="B73" i="9" s="1"/>
  <c r="U76" i="9"/>
  <c r="D76" i="9" s="1"/>
  <c r="R79" i="9"/>
  <c r="B79" i="9" s="1"/>
  <c r="U80" i="9"/>
  <c r="D80" i="9" s="1"/>
  <c r="U83" i="9"/>
  <c r="D83" i="9" s="1"/>
  <c r="R92" i="9"/>
  <c r="B92" i="9" s="1"/>
  <c r="U100" i="9"/>
  <c r="D100" i="9" s="1"/>
  <c r="R112" i="9"/>
  <c r="B112" i="9" s="1"/>
  <c r="R117" i="9"/>
  <c r="B117" i="9" s="1"/>
  <c r="U124" i="9"/>
  <c r="D124" i="9" s="1"/>
  <c r="U17" i="9"/>
  <c r="D17" i="9" s="1"/>
  <c r="R18" i="9"/>
  <c r="B18" i="9" s="1"/>
  <c r="U21" i="9"/>
  <c r="D21" i="9" s="1"/>
  <c r="R22" i="9"/>
  <c r="B22" i="9" s="1"/>
  <c r="U25" i="9"/>
  <c r="D25" i="9" s="1"/>
  <c r="R26" i="9"/>
  <c r="B26" i="9" s="1"/>
  <c r="U29" i="9"/>
  <c r="D29" i="9" s="1"/>
  <c r="R30" i="9"/>
  <c r="B30" i="9" s="1"/>
  <c r="U33" i="9"/>
  <c r="D33" i="9" s="1"/>
  <c r="R34" i="9"/>
  <c r="B34" i="9" s="1"/>
  <c r="U37" i="9"/>
  <c r="D37" i="9" s="1"/>
  <c r="R38" i="9"/>
  <c r="B38" i="9" s="1"/>
  <c r="U41" i="9"/>
  <c r="D41" i="9" s="1"/>
  <c r="R42" i="9"/>
  <c r="B42" i="9" s="1"/>
  <c r="U45" i="9"/>
  <c r="D45" i="9" s="1"/>
  <c r="R46" i="9"/>
  <c r="B46" i="9" s="1"/>
  <c r="U49" i="9"/>
  <c r="D49" i="9" s="1"/>
  <c r="R50" i="9"/>
  <c r="B50" i="9" s="1"/>
  <c r="U53" i="9"/>
  <c r="D53" i="9" s="1"/>
  <c r="R54" i="9"/>
  <c r="B54" i="9" s="1"/>
  <c r="U57" i="9"/>
  <c r="D57" i="9" s="1"/>
  <c r="R58" i="9"/>
  <c r="B58" i="9" s="1"/>
  <c r="U61" i="9"/>
  <c r="D61" i="9" s="1"/>
  <c r="R62" i="9"/>
  <c r="B62" i="9" s="1"/>
  <c r="U65" i="9"/>
  <c r="D65" i="9" s="1"/>
  <c r="R66" i="9"/>
  <c r="B66" i="9" s="1"/>
  <c r="U69" i="9"/>
  <c r="D69" i="9" s="1"/>
  <c r="R70" i="9"/>
  <c r="B70" i="9" s="1"/>
  <c r="U73" i="9"/>
  <c r="D73" i="9" s="1"/>
  <c r="R74" i="9"/>
  <c r="B74" i="9" s="1"/>
  <c r="U79" i="9"/>
  <c r="D79" i="9" s="1"/>
  <c r="U82" i="9"/>
  <c r="D82" i="9" s="1"/>
  <c r="U87" i="9"/>
  <c r="D87" i="9" s="1"/>
  <c r="R96" i="9"/>
  <c r="B96" i="9" s="1"/>
  <c r="U103" i="9"/>
  <c r="D103" i="9" s="1"/>
  <c r="U162" i="9"/>
  <c r="D162" i="9" s="1"/>
  <c r="U158" i="9"/>
  <c r="D158" i="9" s="1"/>
  <c r="U154" i="9"/>
  <c r="D154" i="9" s="1"/>
  <c r="U150" i="9"/>
  <c r="D150" i="9" s="1"/>
  <c r="U146" i="9"/>
  <c r="D146" i="9" s="1"/>
  <c r="U142" i="9"/>
  <c r="D142" i="9" s="1"/>
  <c r="U138" i="9"/>
  <c r="D138" i="9" s="1"/>
  <c r="U134" i="9"/>
  <c r="D134" i="9" s="1"/>
  <c r="U130" i="9"/>
  <c r="D130" i="9" s="1"/>
  <c r="U126" i="9"/>
  <c r="D126" i="9" s="1"/>
  <c r="U161" i="9"/>
  <c r="D161" i="9" s="1"/>
  <c r="U157" i="9"/>
  <c r="D157" i="9" s="1"/>
  <c r="U153" i="9"/>
  <c r="D153" i="9" s="1"/>
  <c r="U149" i="9"/>
  <c r="D149" i="9" s="1"/>
  <c r="U145" i="9"/>
  <c r="D145" i="9" s="1"/>
  <c r="U141" i="9"/>
  <c r="D141" i="9" s="1"/>
  <c r="U137" i="9"/>
  <c r="D137" i="9" s="1"/>
  <c r="U133" i="9"/>
  <c r="D133" i="9" s="1"/>
  <c r="U129" i="9"/>
  <c r="D129" i="9" s="1"/>
  <c r="U125" i="9"/>
  <c r="D125" i="9" s="1"/>
  <c r="U160" i="9"/>
  <c r="D160" i="9" s="1"/>
  <c r="U156" i="9"/>
  <c r="D156" i="9" s="1"/>
  <c r="U152" i="9"/>
  <c r="D152" i="9" s="1"/>
  <c r="U148" i="9"/>
  <c r="D148" i="9" s="1"/>
  <c r="U144" i="9"/>
  <c r="D144" i="9" s="1"/>
  <c r="U140" i="9"/>
  <c r="D140" i="9" s="1"/>
  <c r="U136" i="9"/>
  <c r="D136" i="9" s="1"/>
  <c r="U132" i="9"/>
  <c r="D132" i="9" s="1"/>
  <c r="U128" i="9"/>
  <c r="D128" i="9" s="1"/>
  <c r="U151" i="9"/>
  <c r="D151" i="9" s="1"/>
  <c r="U135" i="9"/>
  <c r="D135" i="9" s="1"/>
  <c r="U123" i="9"/>
  <c r="D123" i="9" s="1"/>
  <c r="U119" i="9"/>
  <c r="D119" i="9" s="1"/>
  <c r="U147" i="9"/>
  <c r="D147" i="9" s="1"/>
  <c r="U131" i="9"/>
  <c r="D131" i="9" s="1"/>
  <c r="U122" i="9"/>
  <c r="D122" i="9" s="1"/>
  <c r="U118" i="9"/>
  <c r="D118" i="9" s="1"/>
  <c r="U114" i="9"/>
  <c r="D114" i="9" s="1"/>
  <c r="U110" i="9"/>
  <c r="D110" i="9" s="1"/>
  <c r="U106" i="9"/>
  <c r="D106" i="9" s="1"/>
  <c r="U102" i="9"/>
  <c r="D102" i="9" s="1"/>
  <c r="U98" i="9"/>
  <c r="D98" i="9" s="1"/>
  <c r="U143" i="9"/>
  <c r="D143" i="9" s="1"/>
  <c r="U121" i="9"/>
  <c r="D121" i="9" s="1"/>
  <c r="U107" i="9"/>
  <c r="D107" i="9" s="1"/>
  <c r="U104" i="9"/>
  <c r="D104" i="9" s="1"/>
  <c r="U101" i="9"/>
  <c r="D101" i="9" s="1"/>
  <c r="U94" i="9"/>
  <c r="D94" i="9" s="1"/>
  <c r="U90" i="9"/>
  <c r="D90" i="9" s="1"/>
  <c r="U86" i="9"/>
  <c r="D86" i="9" s="1"/>
  <c r="U139" i="9"/>
  <c r="D139" i="9" s="1"/>
  <c r="U120" i="9"/>
  <c r="D120" i="9" s="1"/>
  <c r="U111" i="9"/>
  <c r="D111" i="9" s="1"/>
  <c r="U108" i="9"/>
  <c r="D108" i="9" s="1"/>
  <c r="U105" i="9"/>
  <c r="D105" i="9" s="1"/>
  <c r="U93" i="9"/>
  <c r="D93" i="9" s="1"/>
  <c r="U89" i="9"/>
  <c r="D89" i="9" s="1"/>
  <c r="U85" i="9"/>
  <c r="D85" i="9" s="1"/>
  <c r="U81" i="9"/>
  <c r="D81" i="9" s="1"/>
  <c r="U77" i="9"/>
  <c r="D77" i="9" s="1"/>
  <c r="U159" i="9"/>
  <c r="D159" i="9" s="1"/>
  <c r="U127" i="9"/>
  <c r="D127" i="9" s="1"/>
  <c r="U117" i="9"/>
  <c r="D117" i="9" s="1"/>
  <c r="U115" i="9"/>
  <c r="D115" i="9" s="1"/>
  <c r="U112" i="9"/>
  <c r="D112" i="9" s="1"/>
  <c r="U109" i="9"/>
  <c r="D109" i="9" s="1"/>
  <c r="U99" i="9"/>
  <c r="D99" i="9" s="1"/>
  <c r="U96" i="9"/>
  <c r="D96" i="9" s="1"/>
  <c r="U92" i="9"/>
  <c r="D92" i="9" s="1"/>
  <c r="U88" i="9"/>
  <c r="D88" i="9" s="1"/>
  <c r="U84" i="9"/>
  <c r="D84" i="9" s="1"/>
  <c r="U18" i="9"/>
  <c r="D18" i="9" s="1"/>
  <c r="U22" i="9"/>
  <c r="D22" i="9" s="1"/>
  <c r="U26" i="9"/>
  <c r="D26" i="9" s="1"/>
  <c r="U30" i="9"/>
  <c r="D30" i="9" s="1"/>
  <c r="U34" i="9"/>
  <c r="D34" i="9" s="1"/>
  <c r="U38" i="9"/>
  <c r="D38" i="9" s="1"/>
  <c r="U42" i="9"/>
  <c r="D42" i="9" s="1"/>
  <c r="U46" i="9"/>
  <c r="D46" i="9" s="1"/>
  <c r="U50" i="9"/>
  <c r="D50" i="9" s="1"/>
  <c r="U54" i="9"/>
  <c r="D54" i="9" s="1"/>
  <c r="U58" i="9"/>
  <c r="D58" i="9" s="1"/>
  <c r="U62" i="9"/>
  <c r="D62" i="9" s="1"/>
  <c r="U66" i="9"/>
  <c r="D66" i="9" s="1"/>
  <c r="U70" i="9"/>
  <c r="D70" i="9" s="1"/>
  <c r="U74" i="9"/>
  <c r="D74" i="9" s="1"/>
  <c r="U78" i="9"/>
  <c r="D78" i="9" s="1"/>
  <c r="U91" i="9"/>
  <c r="D91" i="9" s="1"/>
  <c r="U113" i="9"/>
  <c r="D113" i="9" s="1"/>
  <c r="R133" i="8"/>
  <c r="B133" i="8" s="1"/>
  <c r="U87" i="8"/>
  <c r="D87" i="8" s="1"/>
  <c r="U142" i="8"/>
  <c r="D142" i="8" s="1"/>
  <c r="U79" i="8"/>
  <c r="D79" i="8" s="1"/>
  <c r="U95" i="8"/>
  <c r="D95" i="8" s="1"/>
  <c r="U126" i="8"/>
  <c r="D126" i="8" s="1"/>
  <c r="R24" i="8"/>
  <c r="B24" i="8" s="1"/>
  <c r="R32" i="8"/>
  <c r="B32" i="8" s="1"/>
  <c r="R40" i="8"/>
  <c r="B40" i="8" s="1"/>
  <c r="R50" i="8"/>
  <c r="B50" i="8" s="1"/>
  <c r="R66" i="8"/>
  <c r="B66" i="8" s="1"/>
  <c r="R74" i="8"/>
  <c r="B74" i="8" s="1"/>
  <c r="R105" i="8"/>
  <c r="B105" i="8" s="1"/>
  <c r="R21" i="8"/>
  <c r="B21" i="8" s="1"/>
  <c r="R25" i="8"/>
  <c r="B25" i="8" s="1"/>
  <c r="R33" i="8"/>
  <c r="B33" i="8" s="1"/>
  <c r="R37" i="8"/>
  <c r="B37" i="8" s="1"/>
  <c r="R41" i="8"/>
  <c r="B41" i="8" s="1"/>
  <c r="R45" i="8"/>
  <c r="B45" i="8" s="1"/>
  <c r="R52" i="8"/>
  <c r="B52" i="8" s="1"/>
  <c r="R60" i="8"/>
  <c r="B60" i="8" s="1"/>
  <c r="R68" i="8"/>
  <c r="B68" i="8" s="1"/>
  <c r="R109" i="8"/>
  <c r="B109" i="8" s="1"/>
  <c r="R103" i="8"/>
  <c r="B103" i="8" s="1"/>
  <c r="R18" i="8"/>
  <c r="B18" i="8" s="1"/>
  <c r="R22" i="8"/>
  <c r="B22" i="8" s="1"/>
  <c r="R26" i="8"/>
  <c r="B26" i="8" s="1"/>
  <c r="R30" i="8"/>
  <c r="B30" i="8" s="1"/>
  <c r="R34" i="8"/>
  <c r="B34" i="8" s="1"/>
  <c r="R38" i="8"/>
  <c r="B38" i="8" s="1"/>
  <c r="R42" i="8"/>
  <c r="B42" i="8" s="1"/>
  <c r="R46" i="8"/>
  <c r="B46" i="8" s="1"/>
  <c r="R54" i="8"/>
  <c r="B54" i="8" s="1"/>
  <c r="R62" i="8"/>
  <c r="B62" i="8" s="1"/>
  <c r="R70" i="8"/>
  <c r="B70" i="8" s="1"/>
  <c r="R89" i="8"/>
  <c r="B89" i="8" s="1"/>
  <c r="R20" i="8"/>
  <c r="B20" i="8" s="1"/>
  <c r="R28" i="8"/>
  <c r="B28" i="8" s="1"/>
  <c r="R36" i="8"/>
  <c r="B36" i="8" s="1"/>
  <c r="R44" i="8"/>
  <c r="B44" i="8" s="1"/>
  <c r="R58" i="8"/>
  <c r="B58" i="8" s="1"/>
  <c r="R17" i="8"/>
  <c r="B17" i="8" s="1"/>
  <c r="R29" i="8"/>
  <c r="B29" i="8" s="1"/>
  <c r="R97" i="8"/>
  <c r="B97" i="8" s="1"/>
  <c r="R19" i="8"/>
  <c r="B19" i="8" s="1"/>
  <c r="R23" i="8"/>
  <c r="B23" i="8" s="1"/>
  <c r="R27" i="8"/>
  <c r="B27" i="8" s="1"/>
  <c r="R31" i="8"/>
  <c r="B31" i="8" s="1"/>
  <c r="R35" i="8"/>
  <c r="B35" i="8" s="1"/>
  <c r="R39" i="8"/>
  <c r="B39" i="8" s="1"/>
  <c r="R43" i="8"/>
  <c r="B43" i="8" s="1"/>
  <c r="R48" i="8"/>
  <c r="B48" i="8" s="1"/>
  <c r="R56" i="8"/>
  <c r="B56" i="8" s="1"/>
  <c r="R64" i="8"/>
  <c r="B64" i="8" s="1"/>
  <c r="R72" i="8"/>
  <c r="B72" i="8" s="1"/>
  <c r="R81" i="8"/>
  <c r="B81" i="8" s="1"/>
  <c r="U119" i="8"/>
  <c r="D119" i="8" s="1"/>
  <c r="U114" i="8"/>
  <c r="D114" i="8" s="1"/>
  <c r="R162" i="8"/>
  <c r="B162" i="8" s="1"/>
  <c r="R160" i="8"/>
  <c r="B160" i="8" s="1"/>
  <c r="R158" i="8"/>
  <c r="B158" i="8" s="1"/>
  <c r="R156" i="8"/>
  <c r="B156" i="8" s="1"/>
  <c r="R154" i="8"/>
  <c r="B154" i="8" s="1"/>
  <c r="R152" i="8"/>
  <c r="B152" i="8" s="1"/>
  <c r="R150" i="8"/>
  <c r="B150" i="8" s="1"/>
  <c r="R148" i="8"/>
  <c r="B148" i="8" s="1"/>
  <c r="R146" i="8"/>
  <c r="B146" i="8" s="1"/>
  <c r="R144" i="8"/>
  <c r="B144" i="8" s="1"/>
  <c r="R142" i="8"/>
  <c r="B142" i="8" s="1"/>
  <c r="R140" i="8"/>
  <c r="B140" i="8" s="1"/>
  <c r="R138" i="8"/>
  <c r="B138" i="8" s="1"/>
  <c r="R136" i="8"/>
  <c r="B136" i="8" s="1"/>
  <c r="R134" i="8"/>
  <c r="B134" i="8" s="1"/>
  <c r="R132" i="8"/>
  <c r="B132" i="8" s="1"/>
  <c r="R130" i="8"/>
  <c r="B130" i="8" s="1"/>
  <c r="R128" i="8"/>
  <c r="B128" i="8" s="1"/>
  <c r="R126" i="8"/>
  <c r="B126" i="8" s="1"/>
  <c r="R124" i="8"/>
  <c r="B124" i="8" s="1"/>
  <c r="R122" i="8"/>
  <c r="B122" i="8" s="1"/>
  <c r="R120" i="8"/>
  <c r="B120" i="8" s="1"/>
  <c r="R119" i="8"/>
  <c r="B119" i="8" s="1"/>
  <c r="R118" i="8"/>
  <c r="B118" i="8" s="1"/>
  <c r="R117" i="8"/>
  <c r="B117" i="8" s="1"/>
  <c r="R116" i="8"/>
  <c r="B116" i="8" s="1"/>
  <c r="R115" i="8"/>
  <c r="B115" i="8" s="1"/>
  <c r="R114" i="8"/>
  <c r="B114" i="8" s="1"/>
  <c r="R113" i="8"/>
  <c r="B113" i="8" s="1"/>
  <c r="R112" i="8"/>
  <c r="B112" i="8" s="1"/>
  <c r="R110" i="8"/>
  <c r="B110" i="8" s="1"/>
  <c r="R161" i="8"/>
  <c r="B161" i="8" s="1"/>
  <c r="R147" i="8"/>
  <c r="B147" i="8" s="1"/>
  <c r="R145" i="8"/>
  <c r="B145" i="8" s="1"/>
  <c r="R131" i="8"/>
  <c r="B131" i="8" s="1"/>
  <c r="R129" i="8"/>
  <c r="B129" i="8" s="1"/>
  <c r="R108" i="8"/>
  <c r="B108" i="8" s="1"/>
  <c r="R106" i="8"/>
  <c r="B106" i="8" s="1"/>
  <c r="R104" i="8"/>
  <c r="B104" i="8" s="1"/>
  <c r="R102" i="8"/>
  <c r="B102" i="8" s="1"/>
  <c r="R100" i="8"/>
  <c r="B100" i="8" s="1"/>
  <c r="R98" i="8"/>
  <c r="B98" i="8" s="1"/>
  <c r="R96" i="8"/>
  <c r="B96" i="8" s="1"/>
  <c r="R94" i="8"/>
  <c r="B94" i="8" s="1"/>
  <c r="R92" i="8"/>
  <c r="B92" i="8" s="1"/>
  <c r="R90" i="8"/>
  <c r="B90" i="8" s="1"/>
  <c r="R88" i="8"/>
  <c r="B88" i="8" s="1"/>
  <c r="R86" i="8"/>
  <c r="B86" i="8" s="1"/>
  <c r="R84" i="8"/>
  <c r="B84" i="8" s="1"/>
  <c r="R82" i="8"/>
  <c r="B82" i="8" s="1"/>
  <c r="R80" i="8"/>
  <c r="B80" i="8" s="1"/>
  <c r="R78" i="8"/>
  <c r="B78" i="8" s="1"/>
  <c r="R76" i="8"/>
  <c r="B76" i="8" s="1"/>
  <c r="R159" i="8"/>
  <c r="B159" i="8" s="1"/>
  <c r="R157" i="8"/>
  <c r="B157" i="8" s="1"/>
  <c r="R143" i="8"/>
  <c r="B143" i="8" s="1"/>
  <c r="R141" i="8"/>
  <c r="B141" i="8" s="1"/>
  <c r="R127" i="8"/>
  <c r="B127" i="8" s="1"/>
  <c r="R125" i="8"/>
  <c r="B125" i="8" s="1"/>
  <c r="R111" i="8"/>
  <c r="B111" i="8" s="1"/>
  <c r="R155" i="8"/>
  <c r="B155" i="8" s="1"/>
  <c r="R153" i="8"/>
  <c r="B153" i="8" s="1"/>
  <c r="R139" i="8"/>
  <c r="B139" i="8" s="1"/>
  <c r="R137" i="8"/>
  <c r="B137" i="8" s="1"/>
  <c r="R123" i="8"/>
  <c r="B123" i="8" s="1"/>
  <c r="R121" i="8"/>
  <c r="B121" i="8" s="1"/>
  <c r="M14" i="8"/>
  <c r="U17" i="8"/>
  <c r="D17" i="8" s="1"/>
  <c r="U18" i="8"/>
  <c r="D18" i="8" s="1"/>
  <c r="U19" i="8"/>
  <c r="D19" i="8" s="1"/>
  <c r="U20" i="8"/>
  <c r="D20" i="8" s="1"/>
  <c r="U21" i="8"/>
  <c r="D21" i="8" s="1"/>
  <c r="U22" i="8"/>
  <c r="D22" i="8" s="1"/>
  <c r="U23" i="8"/>
  <c r="D23" i="8" s="1"/>
  <c r="U24" i="8"/>
  <c r="D24" i="8" s="1"/>
  <c r="U25" i="8"/>
  <c r="D25" i="8" s="1"/>
  <c r="U26" i="8"/>
  <c r="D26" i="8" s="1"/>
  <c r="U27" i="8"/>
  <c r="D27" i="8" s="1"/>
  <c r="U28" i="8"/>
  <c r="D28" i="8" s="1"/>
  <c r="U29" i="8"/>
  <c r="D29" i="8" s="1"/>
  <c r="U30" i="8"/>
  <c r="D30" i="8" s="1"/>
  <c r="U31" i="8"/>
  <c r="D31" i="8" s="1"/>
  <c r="U32" i="8"/>
  <c r="D32" i="8" s="1"/>
  <c r="U33" i="8"/>
  <c r="D33" i="8" s="1"/>
  <c r="U34" i="8"/>
  <c r="D34" i="8" s="1"/>
  <c r="U35" i="8"/>
  <c r="D35" i="8" s="1"/>
  <c r="U36" i="8"/>
  <c r="D36" i="8" s="1"/>
  <c r="U37" i="8"/>
  <c r="D37" i="8" s="1"/>
  <c r="U38" i="8"/>
  <c r="D38" i="8" s="1"/>
  <c r="U39" i="8"/>
  <c r="D39" i="8" s="1"/>
  <c r="U40" i="8"/>
  <c r="D40" i="8" s="1"/>
  <c r="U41" i="8"/>
  <c r="D41" i="8" s="1"/>
  <c r="U42" i="8"/>
  <c r="D42" i="8" s="1"/>
  <c r="U43" i="8"/>
  <c r="D43" i="8" s="1"/>
  <c r="U44" i="8"/>
  <c r="D44" i="8" s="1"/>
  <c r="U45" i="8"/>
  <c r="D45" i="8" s="1"/>
  <c r="U46" i="8"/>
  <c r="D46" i="8" s="1"/>
  <c r="U48" i="8"/>
  <c r="D48" i="8" s="1"/>
  <c r="U50" i="8"/>
  <c r="D50" i="8" s="1"/>
  <c r="U52" i="8"/>
  <c r="D52" i="8" s="1"/>
  <c r="U54" i="8"/>
  <c r="D54" i="8" s="1"/>
  <c r="U56" i="8"/>
  <c r="D56" i="8" s="1"/>
  <c r="U58" i="8"/>
  <c r="D58" i="8" s="1"/>
  <c r="U60" i="8"/>
  <c r="D60" i="8" s="1"/>
  <c r="U62" i="8"/>
  <c r="D62" i="8" s="1"/>
  <c r="U64" i="8"/>
  <c r="D64" i="8" s="1"/>
  <c r="U66" i="8"/>
  <c r="D66" i="8" s="1"/>
  <c r="U68" i="8"/>
  <c r="D68" i="8" s="1"/>
  <c r="U70" i="8"/>
  <c r="D70" i="8" s="1"/>
  <c r="U72" i="8"/>
  <c r="D72" i="8" s="1"/>
  <c r="U74" i="8"/>
  <c r="D74" i="8" s="1"/>
  <c r="R75" i="8"/>
  <c r="B75" i="8" s="1"/>
  <c r="U81" i="8"/>
  <c r="D81" i="8" s="1"/>
  <c r="U82" i="8"/>
  <c r="D82" i="8" s="1"/>
  <c r="R83" i="8"/>
  <c r="B83" i="8" s="1"/>
  <c r="U89" i="8"/>
  <c r="D89" i="8" s="1"/>
  <c r="U90" i="8"/>
  <c r="D90" i="8" s="1"/>
  <c r="R91" i="8"/>
  <c r="B91" i="8" s="1"/>
  <c r="U97" i="8"/>
  <c r="D97" i="8" s="1"/>
  <c r="U98" i="8"/>
  <c r="D98" i="8" s="1"/>
  <c r="R99" i="8"/>
  <c r="B99" i="8" s="1"/>
  <c r="U105" i="8"/>
  <c r="D105" i="8" s="1"/>
  <c r="U106" i="8"/>
  <c r="D106" i="8" s="1"/>
  <c r="R107" i="8"/>
  <c r="B107" i="8" s="1"/>
  <c r="U115" i="8"/>
  <c r="D115" i="8" s="1"/>
  <c r="R135" i="8"/>
  <c r="B135" i="8" s="1"/>
  <c r="R149" i="8"/>
  <c r="B149" i="8" s="1"/>
  <c r="U162" i="8"/>
  <c r="D162" i="8" s="1"/>
  <c r="U161" i="8"/>
  <c r="D161" i="8" s="1"/>
  <c r="U159" i="8"/>
  <c r="D159" i="8" s="1"/>
  <c r="U157" i="8"/>
  <c r="D157" i="8" s="1"/>
  <c r="U155" i="8"/>
  <c r="D155" i="8" s="1"/>
  <c r="U153" i="8"/>
  <c r="D153" i="8" s="1"/>
  <c r="U151" i="8"/>
  <c r="D151" i="8" s="1"/>
  <c r="U149" i="8"/>
  <c r="D149" i="8" s="1"/>
  <c r="U147" i="8"/>
  <c r="D147" i="8" s="1"/>
  <c r="U145" i="8"/>
  <c r="D145" i="8" s="1"/>
  <c r="U143" i="8"/>
  <c r="D143" i="8" s="1"/>
  <c r="U141" i="8"/>
  <c r="D141" i="8" s="1"/>
  <c r="U139" i="8"/>
  <c r="D139" i="8" s="1"/>
  <c r="U137" i="8"/>
  <c r="D137" i="8" s="1"/>
  <c r="U135" i="8"/>
  <c r="D135" i="8" s="1"/>
  <c r="U133" i="8"/>
  <c r="D133" i="8" s="1"/>
  <c r="U131" i="8"/>
  <c r="D131" i="8" s="1"/>
  <c r="U129" i="8"/>
  <c r="D129" i="8" s="1"/>
  <c r="U127" i="8"/>
  <c r="D127" i="8" s="1"/>
  <c r="U125" i="8"/>
  <c r="D125" i="8" s="1"/>
  <c r="U123" i="8"/>
  <c r="D123" i="8" s="1"/>
  <c r="U121" i="8"/>
  <c r="D121" i="8" s="1"/>
  <c r="U160" i="8"/>
  <c r="D160" i="8" s="1"/>
  <c r="U156" i="8"/>
  <c r="D156" i="8" s="1"/>
  <c r="U152" i="8"/>
  <c r="D152" i="8" s="1"/>
  <c r="U148" i="8"/>
  <c r="D148" i="8" s="1"/>
  <c r="U144" i="8"/>
  <c r="D144" i="8" s="1"/>
  <c r="U140" i="8"/>
  <c r="D140" i="8" s="1"/>
  <c r="U136" i="8"/>
  <c r="D136" i="8" s="1"/>
  <c r="U132" i="8"/>
  <c r="D132" i="8" s="1"/>
  <c r="U128" i="8"/>
  <c r="D128" i="8" s="1"/>
  <c r="U124" i="8"/>
  <c r="D124" i="8" s="1"/>
  <c r="U120" i="8"/>
  <c r="D120" i="8" s="1"/>
  <c r="U154" i="8"/>
  <c r="D154" i="8" s="1"/>
  <c r="U138" i="8"/>
  <c r="D138" i="8" s="1"/>
  <c r="U122" i="8"/>
  <c r="D122" i="8" s="1"/>
  <c r="U116" i="8"/>
  <c r="D116" i="8" s="1"/>
  <c r="U112" i="8"/>
  <c r="D112" i="8" s="1"/>
  <c r="U111" i="8"/>
  <c r="D111" i="8" s="1"/>
  <c r="U150" i="8"/>
  <c r="D150" i="8" s="1"/>
  <c r="U134" i="8"/>
  <c r="D134" i="8" s="1"/>
  <c r="U117" i="8"/>
  <c r="D117" i="8" s="1"/>
  <c r="U113" i="8"/>
  <c r="D113" i="8" s="1"/>
  <c r="U110" i="8"/>
  <c r="D110" i="8" s="1"/>
  <c r="U109" i="8"/>
  <c r="D109" i="8" s="1"/>
  <c r="U146" i="8"/>
  <c r="D146" i="8" s="1"/>
  <c r="U130" i="8"/>
  <c r="D130" i="8" s="1"/>
  <c r="U118" i="8"/>
  <c r="D118" i="8" s="1"/>
  <c r="R47" i="8"/>
  <c r="B47" i="8" s="1"/>
  <c r="R49" i="8"/>
  <c r="B49" i="8" s="1"/>
  <c r="R51" i="8"/>
  <c r="B51" i="8" s="1"/>
  <c r="R53" i="8"/>
  <c r="B53" i="8" s="1"/>
  <c r="R55" i="8"/>
  <c r="B55" i="8" s="1"/>
  <c r="R57" i="8"/>
  <c r="B57" i="8" s="1"/>
  <c r="R59" i="8"/>
  <c r="B59" i="8" s="1"/>
  <c r="R61" i="8"/>
  <c r="B61" i="8" s="1"/>
  <c r="R63" i="8"/>
  <c r="B63" i="8" s="1"/>
  <c r="R65" i="8"/>
  <c r="B65" i="8" s="1"/>
  <c r="R67" i="8"/>
  <c r="B67" i="8" s="1"/>
  <c r="R69" i="8"/>
  <c r="B69" i="8" s="1"/>
  <c r="R71" i="8"/>
  <c r="B71" i="8" s="1"/>
  <c r="R73" i="8"/>
  <c r="B73" i="8" s="1"/>
  <c r="U75" i="8"/>
  <c r="D75" i="8" s="1"/>
  <c r="U76" i="8"/>
  <c r="D76" i="8" s="1"/>
  <c r="R77" i="8"/>
  <c r="B77" i="8" s="1"/>
  <c r="U83" i="8"/>
  <c r="D83" i="8" s="1"/>
  <c r="U84" i="8"/>
  <c r="D84" i="8" s="1"/>
  <c r="R85" i="8"/>
  <c r="B85" i="8" s="1"/>
  <c r="U91" i="8"/>
  <c r="D91" i="8" s="1"/>
  <c r="U92" i="8"/>
  <c r="D92" i="8" s="1"/>
  <c r="R93" i="8"/>
  <c r="B93" i="8" s="1"/>
  <c r="U99" i="8"/>
  <c r="D99" i="8" s="1"/>
  <c r="U100" i="8"/>
  <c r="D100" i="8" s="1"/>
  <c r="R101" i="8"/>
  <c r="B101" i="8" s="1"/>
  <c r="U107" i="8"/>
  <c r="D107" i="8" s="1"/>
  <c r="U108" i="8"/>
  <c r="D108" i="8" s="1"/>
  <c r="R151" i="8"/>
  <c r="B151" i="8" s="1"/>
  <c r="U158" i="8"/>
  <c r="D158" i="8" s="1"/>
  <c r="U47" i="8"/>
  <c r="D47" i="8" s="1"/>
  <c r="U49" i="8"/>
  <c r="D49" i="8" s="1"/>
  <c r="U51" i="8"/>
  <c r="D51" i="8" s="1"/>
  <c r="U53" i="8"/>
  <c r="D53" i="8" s="1"/>
  <c r="U55" i="8"/>
  <c r="D55" i="8" s="1"/>
  <c r="U57" i="8"/>
  <c r="D57" i="8" s="1"/>
  <c r="U59" i="8"/>
  <c r="D59" i="8" s="1"/>
  <c r="U61" i="8"/>
  <c r="D61" i="8" s="1"/>
  <c r="U63" i="8"/>
  <c r="D63" i="8" s="1"/>
  <c r="U65" i="8"/>
  <c r="D65" i="8" s="1"/>
  <c r="U67" i="8"/>
  <c r="D67" i="8" s="1"/>
  <c r="U69" i="8"/>
  <c r="D69" i="8" s="1"/>
  <c r="U71" i="8"/>
  <c r="D71" i="8" s="1"/>
  <c r="U73" i="8"/>
  <c r="D73" i="8" s="1"/>
  <c r="U77" i="8"/>
  <c r="D77" i="8" s="1"/>
  <c r="U78" i="8"/>
  <c r="D78" i="8" s="1"/>
  <c r="R79" i="8"/>
  <c r="B79" i="8" s="1"/>
  <c r="U85" i="8"/>
  <c r="D85" i="8" s="1"/>
  <c r="U86" i="8"/>
  <c r="D86" i="8" s="1"/>
  <c r="R87" i="8"/>
  <c r="B87" i="8" s="1"/>
  <c r="U93" i="8"/>
  <c r="D93" i="8" s="1"/>
  <c r="U94" i="8"/>
  <c r="D94" i="8" s="1"/>
  <c r="R95" i="8"/>
  <c r="B95" i="8" s="1"/>
  <c r="U101" i="8"/>
  <c r="D101" i="8" s="1"/>
  <c r="U102" i="8"/>
  <c r="D102" i="8" s="1"/>
  <c r="G237" i="6"/>
  <c r="H490" i="6"/>
  <c r="H501" i="6"/>
  <c r="D500" i="6"/>
  <c r="H498" i="6"/>
  <c r="D497" i="6"/>
  <c r="H496" i="6"/>
  <c r="D495" i="6"/>
  <c r="D494" i="6"/>
  <c r="D493" i="6"/>
  <c r="D492" i="6"/>
  <c r="H491" i="6"/>
  <c r="D491" i="6"/>
  <c r="D490" i="6"/>
  <c r="D489" i="6"/>
  <c r="H488" i="6"/>
  <c r="D488" i="6"/>
  <c r="H487" i="6"/>
  <c r="D487" i="6"/>
  <c r="H486" i="6"/>
  <c r="D486" i="6"/>
  <c r="H485" i="6"/>
  <c r="D485" i="6"/>
  <c r="H484" i="6"/>
  <c r="C484" i="6"/>
  <c r="E483" i="6"/>
  <c r="F482" i="6"/>
  <c r="G481" i="6"/>
  <c r="C480" i="6"/>
  <c r="E479" i="6"/>
  <c r="F478" i="6"/>
  <c r="G477" i="6"/>
  <c r="C476" i="6"/>
  <c r="E475" i="6"/>
  <c r="F474" i="6"/>
  <c r="G473" i="6"/>
  <c r="C472" i="6"/>
  <c r="E471" i="6"/>
  <c r="F470" i="6"/>
  <c r="G469" i="6"/>
  <c r="C468" i="6"/>
  <c r="E467" i="6"/>
  <c r="F466" i="6"/>
  <c r="G465" i="6"/>
  <c r="C464" i="6"/>
  <c r="E463" i="6"/>
  <c r="F462" i="6"/>
  <c r="G461" i="6"/>
  <c r="C460" i="6"/>
  <c r="E459" i="6"/>
  <c r="F458" i="6"/>
  <c r="G457" i="6"/>
  <c r="C456" i="6"/>
  <c r="E455" i="6"/>
  <c r="F454" i="6"/>
  <c r="G453" i="6"/>
  <c r="C452" i="6"/>
  <c r="E451" i="6"/>
  <c r="C450" i="6"/>
  <c r="G449" i="6"/>
  <c r="C448" i="6"/>
  <c r="G447" i="6"/>
  <c r="C446" i="6"/>
  <c r="G445" i="6"/>
  <c r="C444" i="6"/>
  <c r="G443" i="6"/>
  <c r="C442" i="6"/>
  <c r="G441" i="6"/>
  <c r="C440" i="6"/>
  <c r="G439" i="6"/>
  <c r="C438" i="6"/>
  <c r="G437" i="6"/>
  <c r="C436" i="6"/>
  <c r="G435" i="6"/>
  <c r="C434" i="6"/>
  <c r="G433" i="6"/>
  <c r="C432" i="6"/>
  <c r="G431" i="6"/>
  <c r="C430" i="6"/>
  <c r="G429" i="6"/>
  <c r="C428" i="6"/>
  <c r="G427" i="6"/>
  <c r="C426" i="6"/>
  <c r="G425" i="6"/>
  <c r="E421" i="6"/>
  <c r="E417" i="6"/>
  <c r="E413" i="6"/>
  <c r="E409" i="6"/>
  <c r="E405" i="6"/>
  <c r="E401" i="6"/>
  <c r="E397" i="6"/>
  <c r="C392" i="6"/>
  <c r="E390" i="6"/>
  <c r="H388" i="6"/>
  <c r="D383" i="6"/>
  <c r="G381" i="6"/>
  <c r="C376" i="6"/>
  <c r="E374" i="6"/>
  <c r="H372" i="6"/>
  <c r="D367" i="6"/>
  <c r="G365" i="6"/>
  <c r="C360" i="6"/>
  <c r="E358" i="6"/>
  <c r="C353" i="6"/>
  <c r="G350" i="6"/>
  <c r="G340" i="6"/>
  <c r="C335" i="6"/>
  <c r="G324" i="6"/>
  <c r="C319" i="6"/>
  <c r="G308" i="6"/>
  <c r="C303" i="6"/>
  <c r="G297" i="6"/>
  <c r="F290" i="6"/>
  <c r="E283" i="6"/>
  <c r="C276" i="6"/>
  <c r="H254" i="6"/>
  <c r="C245" i="6"/>
  <c r="D223" i="6"/>
  <c r="C193" i="6"/>
  <c r="G501" i="6"/>
  <c r="C501" i="6"/>
  <c r="G500" i="6"/>
  <c r="C500" i="6"/>
  <c r="G499" i="6"/>
  <c r="C499" i="6"/>
  <c r="G498" i="6"/>
  <c r="C498" i="6"/>
  <c r="G497" i="6"/>
  <c r="C497" i="6"/>
  <c r="G496" i="6"/>
  <c r="C496" i="6"/>
  <c r="G495" i="6"/>
  <c r="C495" i="6"/>
  <c r="G494" i="6"/>
  <c r="C494" i="6"/>
  <c r="G493" i="6"/>
  <c r="C493" i="6"/>
  <c r="G492" i="6"/>
  <c r="C492" i="6"/>
  <c r="G491" i="6"/>
  <c r="C491" i="6"/>
  <c r="G490" i="6"/>
  <c r="C490" i="6"/>
  <c r="G489" i="6"/>
  <c r="C489" i="6"/>
  <c r="G488" i="6"/>
  <c r="C488" i="6"/>
  <c r="G487" i="6"/>
  <c r="C487" i="6"/>
  <c r="G486" i="6"/>
  <c r="C486" i="6"/>
  <c r="G485" i="6"/>
  <c r="C485" i="6"/>
  <c r="G484" i="6"/>
  <c r="C483" i="6"/>
  <c r="E482" i="6"/>
  <c r="F481" i="6"/>
  <c r="G480" i="6"/>
  <c r="C479" i="6"/>
  <c r="E478" i="6"/>
  <c r="F477" i="6"/>
  <c r="G476" i="6"/>
  <c r="C475" i="6"/>
  <c r="E474" i="6"/>
  <c r="F473" i="6"/>
  <c r="G472" i="6"/>
  <c r="C471" i="6"/>
  <c r="E470" i="6"/>
  <c r="F469" i="6"/>
  <c r="G468" i="6"/>
  <c r="C467" i="6"/>
  <c r="E466" i="6"/>
  <c r="F465" i="6"/>
  <c r="G464" i="6"/>
  <c r="C463" i="6"/>
  <c r="E462" i="6"/>
  <c r="F461" i="6"/>
  <c r="G460" i="6"/>
  <c r="C459" i="6"/>
  <c r="E458" i="6"/>
  <c r="F457" i="6"/>
  <c r="G456" i="6"/>
  <c r="C455" i="6"/>
  <c r="E454" i="6"/>
  <c r="F453" i="6"/>
  <c r="G452" i="6"/>
  <c r="C451" i="6"/>
  <c r="E449" i="6"/>
  <c r="E447" i="6"/>
  <c r="E445" i="6"/>
  <c r="E443" i="6"/>
  <c r="E441" i="6"/>
  <c r="E439" i="6"/>
  <c r="E437" i="6"/>
  <c r="E435" i="6"/>
  <c r="E433" i="6"/>
  <c r="E431" i="6"/>
  <c r="E429" i="6"/>
  <c r="E427" i="6"/>
  <c r="E425" i="6"/>
  <c r="E422" i="6"/>
  <c r="E418" i="6"/>
  <c r="E414" i="6"/>
  <c r="E410" i="6"/>
  <c r="E406" i="6"/>
  <c r="E402" i="6"/>
  <c r="E398" i="6"/>
  <c r="D395" i="6"/>
  <c r="G393" i="6"/>
  <c r="C388" i="6"/>
  <c r="E386" i="6"/>
  <c r="H384" i="6"/>
  <c r="D379" i="6"/>
  <c r="G377" i="6"/>
  <c r="C372" i="6"/>
  <c r="E370" i="6"/>
  <c r="H368" i="6"/>
  <c r="D363" i="6"/>
  <c r="G361" i="6"/>
  <c r="C355" i="6"/>
  <c r="G352" i="6"/>
  <c r="G344" i="6"/>
  <c r="C339" i="6"/>
  <c r="G328" i="6"/>
  <c r="C323" i="6"/>
  <c r="G312" i="6"/>
  <c r="C307" i="6"/>
  <c r="G281" i="6"/>
  <c r="F274" i="6"/>
  <c r="E267" i="6"/>
  <c r="C260" i="6"/>
  <c r="D252" i="6"/>
  <c r="C216" i="6"/>
  <c r="H500" i="6"/>
  <c r="D499" i="6"/>
  <c r="H497" i="6"/>
  <c r="D496" i="6"/>
  <c r="H495" i="6"/>
  <c r="H494" i="6"/>
  <c r="H493" i="6"/>
  <c r="H492" i="6"/>
  <c r="H489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G483" i="6"/>
  <c r="C482" i="6"/>
  <c r="E481" i="6"/>
  <c r="F480" i="6"/>
  <c r="G479" i="6"/>
  <c r="C478" i="6"/>
  <c r="E477" i="6"/>
  <c r="F476" i="6"/>
  <c r="G475" i="6"/>
  <c r="C474" i="6"/>
  <c r="E473" i="6"/>
  <c r="F472" i="6"/>
  <c r="G471" i="6"/>
  <c r="C470" i="6"/>
  <c r="E469" i="6"/>
  <c r="F468" i="6"/>
  <c r="G467" i="6"/>
  <c r="C466" i="6"/>
  <c r="E465" i="6"/>
  <c r="F464" i="6"/>
  <c r="G463" i="6"/>
  <c r="C462" i="6"/>
  <c r="E461" i="6"/>
  <c r="F460" i="6"/>
  <c r="G459" i="6"/>
  <c r="C458" i="6"/>
  <c r="E457" i="6"/>
  <c r="F456" i="6"/>
  <c r="G455" i="6"/>
  <c r="C454" i="6"/>
  <c r="E453" i="6"/>
  <c r="F452" i="6"/>
  <c r="G451" i="6"/>
  <c r="G450" i="6"/>
  <c r="C449" i="6"/>
  <c r="G448" i="6"/>
  <c r="C447" i="6"/>
  <c r="G446" i="6"/>
  <c r="C445" i="6"/>
  <c r="G444" i="6"/>
  <c r="C443" i="6"/>
  <c r="G442" i="6"/>
  <c r="C441" i="6"/>
  <c r="G440" i="6"/>
  <c r="C439" i="6"/>
  <c r="G438" i="6"/>
  <c r="C437" i="6"/>
  <c r="G436" i="6"/>
  <c r="C435" i="6"/>
  <c r="G434" i="6"/>
  <c r="C433" i="6"/>
  <c r="G432" i="6"/>
  <c r="C431" i="6"/>
  <c r="G430" i="6"/>
  <c r="C429" i="6"/>
  <c r="G428" i="6"/>
  <c r="C427" i="6"/>
  <c r="G426" i="6"/>
  <c r="C425" i="6"/>
  <c r="G424" i="6"/>
  <c r="E423" i="6"/>
  <c r="E419" i="6"/>
  <c r="E415" i="6"/>
  <c r="E411" i="6"/>
  <c r="E407" i="6"/>
  <c r="E403" i="6"/>
  <c r="E399" i="6"/>
  <c r="H396" i="6"/>
  <c r="D391" i="6"/>
  <c r="G389" i="6"/>
  <c r="C384" i="6"/>
  <c r="E382" i="6"/>
  <c r="H380" i="6"/>
  <c r="D375" i="6"/>
  <c r="G373" i="6"/>
  <c r="C368" i="6"/>
  <c r="E366" i="6"/>
  <c r="H364" i="6"/>
  <c r="D359" i="6"/>
  <c r="C357" i="6"/>
  <c r="G354" i="6"/>
  <c r="G348" i="6"/>
  <c r="C343" i="6"/>
  <c r="G332" i="6"/>
  <c r="C327" i="6"/>
  <c r="G316" i="6"/>
  <c r="C311" i="6"/>
  <c r="G300" i="6"/>
  <c r="G265" i="6"/>
  <c r="F258" i="6"/>
  <c r="D501" i="6"/>
  <c r="H499" i="6"/>
  <c r="D498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C3" i="6"/>
  <c r="H3" i="6"/>
  <c r="G4" i="6"/>
  <c r="F5" i="6"/>
  <c r="D6" i="6"/>
  <c r="C7" i="6"/>
  <c r="H7" i="6"/>
  <c r="G8" i="6"/>
  <c r="F9" i="6"/>
  <c r="D10" i="6"/>
  <c r="C11" i="6"/>
  <c r="H11" i="6"/>
  <c r="G12" i="6"/>
  <c r="F13" i="6"/>
  <c r="D14" i="6"/>
  <c r="C15" i="6"/>
  <c r="H15" i="6"/>
  <c r="G16" i="6"/>
  <c r="F17" i="6"/>
  <c r="D18" i="6"/>
  <c r="C19" i="6"/>
  <c r="H19" i="6"/>
  <c r="G20" i="6"/>
  <c r="F21" i="6"/>
  <c r="D22" i="6"/>
  <c r="C23" i="6"/>
  <c r="H23" i="6"/>
  <c r="D3" i="6"/>
  <c r="F3" i="6"/>
  <c r="D4" i="6"/>
  <c r="C5" i="6"/>
  <c r="H5" i="6"/>
  <c r="G6" i="6"/>
  <c r="F7" i="6"/>
  <c r="D8" i="6"/>
  <c r="C9" i="6"/>
  <c r="H9" i="6"/>
  <c r="G10" i="6"/>
  <c r="F11" i="6"/>
  <c r="D12" i="6"/>
  <c r="C13" i="6"/>
  <c r="H13" i="6"/>
  <c r="G14" i="6"/>
  <c r="F15" i="6"/>
  <c r="D16" i="6"/>
  <c r="C17" i="6"/>
  <c r="H17" i="6"/>
  <c r="G18" i="6"/>
  <c r="F19" i="6"/>
  <c r="D20" i="6"/>
  <c r="C21" i="6"/>
  <c r="H21" i="6"/>
  <c r="G22" i="6"/>
  <c r="F23" i="6"/>
  <c r="D24" i="6"/>
  <c r="C25" i="6"/>
  <c r="H25" i="6"/>
  <c r="G26" i="6"/>
  <c r="F27" i="6"/>
  <c r="D28" i="6"/>
  <c r="C29" i="6"/>
  <c r="H29" i="6"/>
  <c r="G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G3" i="6"/>
  <c r="H4" i="6"/>
  <c r="G5" i="6"/>
  <c r="F6" i="6"/>
  <c r="D7" i="6"/>
  <c r="C8" i="6"/>
  <c r="H12" i="6"/>
  <c r="G13" i="6"/>
  <c r="F14" i="6"/>
  <c r="D15" i="6"/>
  <c r="C16" i="6"/>
  <c r="H20" i="6"/>
  <c r="G21" i="6"/>
  <c r="F22" i="6"/>
  <c r="D23" i="6"/>
  <c r="H24" i="6"/>
  <c r="D25" i="6"/>
  <c r="F26" i="6"/>
  <c r="H27" i="6"/>
  <c r="C28" i="6"/>
  <c r="F29" i="6"/>
  <c r="H6" i="6"/>
  <c r="G7" i="6"/>
  <c r="F8" i="6"/>
  <c r="D9" i="6"/>
  <c r="C10" i="6"/>
  <c r="H14" i="6"/>
  <c r="G15" i="6"/>
  <c r="F16" i="6"/>
  <c r="D17" i="6"/>
  <c r="C18" i="6"/>
  <c r="H22" i="6"/>
  <c r="G23" i="6"/>
  <c r="C24" i="6"/>
  <c r="F25" i="6"/>
  <c r="H26" i="6"/>
  <c r="C27" i="6"/>
  <c r="F28" i="6"/>
  <c r="G29" i="6"/>
  <c r="C30" i="6"/>
  <c r="D31" i="6"/>
  <c r="D32" i="6"/>
  <c r="C33" i="6"/>
  <c r="H33" i="6"/>
  <c r="G34" i="6"/>
  <c r="E35" i="6"/>
  <c r="D36" i="6"/>
  <c r="C37" i="6"/>
  <c r="H37" i="6"/>
  <c r="G38" i="6"/>
  <c r="E39" i="6"/>
  <c r="D40" i="6"/>
  <c r="C41" i="6"/>
  <c r="H41" i="6"/>
  <c r="G42" i="6"/>
  <c r="E43" i="6"/>
  <c r="D44" i="6"/>
  <c r="C45" i="6"/>
  <c r="H45" i="6"/>
  <c r="G46" i="6"/>
  <c r="E47" i="6"/>
  <c r="D48" i="6"/>
  <c r="C49" i="6"/>
  <c r="H49" i="6"/>
  <c r="G50" i="6"/>
  <c r="E51" i="6"/>
  <c r="D52" i="6"/>
  <c r="C53" i="6"/>
  <c r="C4" i="6"/>
  <c r="H8" i="6"/>
  <c r="G9" i="6"/>
  <c r="F10" i="6"/>
  <c r="D11" i="6"/>
  <c r="C12" i="6"/>
  <c r="H16" i="6"/>
  <c r="G17" i="6"/>
  <c r="F18" i="6"/>
  <c r="D19" i="6"/>
  <c r="C20" i="6"/>
  <c r="F24" i="6"/>
  <c r="G25" i="6"/>
  <c r="C26" i="6"/>
  <c r="D27" i="6"/>
  <c r="G28" i="6"/>
  <c r="D30" i="6"/>
  <c r="G31" i="6"/>
  <c r="E32" i="6"/>
  <c r="D33" i="6"/>
  <c r="C34" i="6"/>
  <c r="H34" i="6"/>
  <c r="G35" i="6"/>
  <c r="E36" i="6"/>
  <c r="D37" i="6"/>
  <c r="C38" i="6"/>
  <c r="H38" i="6"/>
  <c r="G39" i="6"/>
  <c r="E40" i="6"/>
  <c r="D41" i="6"/>
  <c r="C42" i="6"/>
  <c r="H42" i="6"/>
  <c r="G43" i="6"/>
  <c r="E44" i="6"/>
  <c r="D45" i="6"/>
  <c r="C46" i="6"/>
  <c r="H46" i="6"/>
  <c r="G47" i="6"/>
  <c r="E48" i="6"/>
  <c r="D49" i="6"/>
  <c r="C50" i="6"/>
  <c r="H50" i="6"/>
  <c r="G51" i="6"/>
  <c r="E52" i="6"/>
  <c r="D53" i="6"/>
  <c r="C54" i="6"/>
  <c r="H54" i="6"/>
  <c r="G55" i="6"/>
  <c r="E56" i="6"/>
  <c r="D57" i="6"/>
  <c r="C58" i="6"/>
  <c r="H58" i="6"/>
  <c r="G59" i="6"/>
  <c r="E60" i="6"/>
  <c r="D61" i="6"/>
  <c r="C62" i="6"/>
  <c r="H62" i="6"/>
  <c r="G63" i="6"/>
  <c r="E64" i="6"/>
  <c r="D65" i="6"/>
  <c r="C66" i="6"/>
  <c r="H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F4" i="6"/>
  <c r="G11" i="6"/>
  <c r="H18" i="6"/>
  <c r="C22" i="6"/>
  <c r="G27" i="6"/>
  <c r="C31" i="6"/>
  <c r="C32" i="6"/>
  <c r="H36" i="6"/>
  <c r="G37" i="6"/>
  <c r="E38" i="6"/>
  <c r="D39" i="6"/>
  <c r="C40" i="6"/>
  <c r="H44" i="6"/>
  <c r="G45" i="6"/>
  <c r="E46" i="6"/>
  <c r="D47" i="6"/>
  <c r="C48" i="6"/>
  <c r="H52" i="6"/>
  <c r="G53" i="6"/>
  <c r="D55" i="6"/>
  <c r="G56" i="6"/>
  <c r="H57" i="6"/>
  <c r="D58" i="6"/>
  <c r="E59" i="6"/>
  <c r="H60" i="6"/>
  <c r="C61" i="6"/>
  <c r="E62" i="6"/>
  <c r="H63" i="6"/>
  <c r="C64" i="6"/>
  <c r="E65" i="6"/>
  <c r="G66" i="6"/>
  <c r="G67" i="6"/>
  <c r="F68" i="6"/>
  <c r="D69" i="6"/>
  <c r="C70" i="6"/>
  <c r="H70" i="6"/>
  <c r="G71" i="6"/>
  <c r="F72" i="6"/>
  <c r="D73" i="6"/>
  <c r="C74" i="6"/>
  <c r="H74" i="6"/>
  <c r="G75" i="6"/>
  <c r="F76" i="6"/>
  <c r="D77" i="6"/>
  <c r="C78" i="6"/>
  <c r="H78" i="6"/>
  <c r="D5" i="6"/>
  <c r="F12" i="6"/>
  <c r="G19" i="6"/>
  <c r="F30" i="6"/>
  <c r="H31" i="6"/>
  <c r="G32" i="6"/>
  <c r="E33" i="6"/>
  <c r="D34" i="6"/>
  <c r="C35" i="6"/>
  <c r="H39" i="6"/>
  <c r="G40" i="6"/>
  <c r="E41" i="6"/>
  <c r="D42" i="6"/>
  <c r="C43" i="6"/>
  <c r="H47" i="6"/>
  <c r="G48" i="6"/>
  <c r="E49" i="6"/>
  <c r="D50" i="6"/>
  <c r="C51" i="6"/>
  <c r="H53" i="6"/>
  <c r="D54" i="6"/>
  <c r="E55" i="6"/>
  <c r="H56" i="6"/>
  <c r="C6" i="6"/>
  <c r="D13" i="6"/>
  <c r="F20" i="6"/>
  <c r="D26" i="6"/>
  <c r="H28" i="6"/>
  <c r="H30" i="6"/>
  <c r="H32" i="6"/>
  <c r="G33" i="6"/>
  <c r="E34" i="6"/>
  <c r="D35" i="6"/>
  <c r="C36" i="6"/>
  <c r="H40" i="6"/>
  <c r="G41" i="6"/>
  <c r="E42" i="6"/>
  <c r="D43" i="6"/>
  <c r="C44" i="6"/>
  <c r="H48" i="6"/>
  <c r="G49" i="6"/>
  <c r="E50" i="6"/>
  <c r="D51" i="6"/>
  <c r="C52" i="6"/>
  <c r="E54" i="6"/>
  <c r="H55" i="6"/>
  <c r="C56" i="6"/>
  <c r="E57" i="6"/>
  <c r="G58" i="6"/>
  <c r="C59" i="6"/>
  <c r="D60" i="6"/>
  <c r="G61" i="6"/>
  <c r="D63" i="6"/>
  <c r="G64" i="6"/>
  <c r="H65" i="6"/>
  <c r="D66" i="6"/>
  <c r="D67" i="6"/>
  <c r="C68" i="6"/>
  <c r="H68" i="6"/>
  <c r="G69" i="6"/>
  <c r="F70" i="6"/>
  <c r="D71" i="6"/>
  <c r="C72" i="6"/>
  <c r="H72" i="6"/>
  <c r="G73" i="6"/>
  <c r="F74" i="6"/>
  <c r="D75" i="6"/>
  <c r="C76" i="6"/>
  <c r="H76" i="6"/>
  <c r="G77" i="6"/>
  <c r="F78" i="6"/>
  <c r="D79" i="6"/>
  <c r="C80" i="6"/>
  <c r="H80" i="6"/>
  <c r="G81" i="6"/>
  <c r="F82" i="6"/>
  <c r="D83" i="6"/>
  <c r="C84" i="6"/>
  <c r="H84" i="6"/>
  <c r="G85" i="6"/>
  <c r="F86" i="6"/>
  <c r="D87" i="6"/>
  <c r="C88" i="6"/>
  <c r="H88" i="6"/>
  <c r="G89" i="6"/>
  <c r="F90" i="6"/>
  <c r="D91" i="6"/>
  <c r="C92" i="6"/>
  <c r="H92" i="6"/>
  <c r="G93" i="6"/>
  <c r="F94" i="6"/>
  <c r="D95" i="6"/>
  <c r="C96" i="6"/>
  <c r="H96" i="6"/>
  <c r="G97" i="6"/>
  <c r="F98" i="6"/>
  <c r="D99" i="6"/>
  <c r="C100" i="6"/>
  <c r="H100" i="6"/>
  <c r="G101" i="6"/>
  <c r="F102" i="6"/>
  <c r="D103" i="6"/>
  <c r="C104" i="6"/>
  <c r="H104" i="6"/>
  <c r="G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D21" i="6"/>
  <c r="D38" i="6"/>
  <c r="E45" i="6"/>
  <c r="G52" i="6"/>
  <c r="C55" i="6"/>
  <c r="C57" i="6"/>
  <c r="E58" i="6"/>
  <c r="H59" i="6"/>
  <c r="C63" i="6"/>
  <c r="D64" i="6"/>
  <c r="G65" i="6"/>
  <c r="H67" i="6"/>
  <c r="G68" i="6"/>
  <c r="F69" i="6"/>
  <c r="D70" i="6"/>
  <c r="C71" i="6"/>
  <c r="H75" i="6"/>
  <c r="G76" i="6"/>
  <c r="F77" i="6"/>
  <c r="D78" i="6"/>
  <c r="C79" i="6"/>
  <c r="F80" i="6"/>
  <c r="H81" i="6"/>
  <c r="C82" i="6"/>
  <c r="F83" i="6"/>
  <c r="G84" i="6"/>
  <c r="C85" i="6"/>
  <c r="D86" i="6"/>
  <c r="G87" i="6"/>
  <c r="D89" i="6"/>
  <c r="G90" i="6"/>
  <c r="H91" i="6"/>
  <c r="D92" i="6"/>
  <c r="F93" i="6"/>
  <c r="H94" i="6"/>
  <c r="C95" i="6"/>
  <c r="F96" i="6"/>
  <c r="H97" i="6"/>
  <c r="C98" i="6"/>
  <c r="F99" i="6"/>
  <c r="G100" i="6"/>
  <c r="C101" i="6"/>
  <c r="D102" i="6"/>
  <c r="G103" i="6"/>
  <c r="D105" i="6"/>
  <c r="G106" i="6"/>
  <c r="E107" i="6"/>
  <c r="D108" i="6"/>
  <c r="C109" i="6"/>
  <c r="H109" i="6"/>
  <c r="G110" i="6"/>
  <c r="E111" i="6"/>
  <c r="D112" i="6"/>
  <c r="C113" i="6"/>
  <c r="H113" i="6"/>
  <c r="G114" i="6"/>
  <c r="E115" i="6"/>
  <c r="D116" i="6"/>
  <c r="C117" i="6"/>
  <c r="H117" i="6"/>
  <c r="G118" i="6"/>
  <c r="E119" i="6"/>
  <c r="D120" i="6"/>
  <c r="C121" i="6"/>
  <c r="H121" i="6"/>
  <c r="G122" i="6"/>
  <c r="E123" i="6"/>
  <c r="D124" i="6"/>
  <c r="C125" i="6"/>
  <c r="H125" i="6"/>
  <c r="G126" i="6"/>
  <c r="E127" i="6"/>
  <c r="D128" i="6"/>
  <c r="C129" i="6"/>
  <c r="H129" i="6"/>
  <c r="G130" i="6"/>
  <c r="E131" i="6"/>
  <c r="D132" i="6"/>
  <c r="C133" i="6"/>
  <c r="H133" i="6"/>
  <c r="G134" i="6"/>
  <c r="E135" i="6"/>
  <c r="D136" i="6"/>
  <c r="C137" i="6"/>
  <c r="H137" i="6"/>
  <c r="G138" i="6"/>
  <c r="E139" i="6"/>
  <c r="D140" i="6"/>
  <c r="C141" i="6"/>
  <c r="H141" i="6"/>
  <c r="G142" i="6"/>
  <c r="E143" i="6"/>
  <c r="F144" i="6"/>
  <c r="F145" i="6"/>
  <c r="H10" i="6"/>
  <c r="G24" i="6"/>
  <c r="H35" i="6"/>
  <c r="C39" i="6"/>
  <c r="D46" i="6"/>
  <c r="E53" i="6"/>
  <c r="G57" i="6"/>
  <c r="D62" i="6"/>
  <c r="E63" i="6"/>
  <c r="H64" i="6"/>
  <c r="H69" i="6"/>
  <c r="G70" i="6"/>
  <c r="F71" i="6"/>
  <c r="D72" i="6"/>
  <c r="C73" i="6"/>
  <c r="H77" i="6"/>
  <c r="G78" i="6"/>
  <c r="F79" i="6"/>
  <c r="G80" i="6"/>
  <c r="C81" i="6"/>
  <c r="D82" i="6"/>
  <c r="G83" i="6"/>
  <c r="D85" i="6"/>
  <c r="G86" i="6"/>
  <c r="H87" i="6"/>
  <c r="D88" i="6"/>
  <c r="F89" i="6"/>
  <c r="H90" i="6"/>
  <c r="C91" i="6"/>
  <c r="F92" i="6"/>
  <c r="H93" i="6"/>
  <c r="C94" i="6"/>
  <c r="F95" i="6"/>
  <c r="G96" i="6"/>
  <c r="C97" i="6"/>
  <c r="D98" i="6"/>
  <c r="G99" i="6"/>
  <c r="D101" i="6"/>
  <c r="G102" i="6"/>
  <c r="H103" i="6"/>
  <c r="D104" i="6"/>
  <c r="F105" i="6"/>
  <c r="H106" i="6"/>
  <c r="G107" i="6"/>
  <c r="E108" i="6"/>
  <c r="D109" i="6"/>
  <c r="C110" i="6"/>
  <c r="H110" i="6"/>
  <c r="G111" i="6"/>
  <c r="E112" i="6"/>
  <c r="D113" i="6"/>
  <c r="C114" i="6"/>
  <c r="H114" i="6"/>
  <c r="G115" i="6"/>
  <c r="E116" i="6"/>
  <c r="D117" i="6"/>
  <c r="C118" i="6"/>
  <c r="H118" i="6"/>
  <c r="G119" i="6"/>
  <c r="E120" i="6"/>
  <c r="D121" i="6"/>
  <c r="C122" i="6"/>
  <c r="H122" i="6"/>
  <c r="G123" i="6"/>
  <c r="E124" i="6"/>
  <c r="D125" i="6"/>
  <c r="C126" i="6"/>
  <c r="H126" i="6"/>
  <c r="G127" i="6"/>
  <c r="C14" i="6"/>
  <c r="G36" i="6"/>
  <c r="H43" i="6"/>
  <c r="C47" i="6"/>
  <c r="D56" i="6"/>
  <c r="C60" i="6"/>
  <c r="E61" i="6"/>
  <c r="G62" i="6"/>
  <c r="C67" i="6"/>
  <c r="H71" i="6"/>
  <c r="G72" i="6"/>
  <c r="F73" i="6"/>
  <c r="D74" i="6"/>
  <c r="C75" i="6"/>
  <c r="G79" i="6"/>
  <c r="D81" i="6"/>
  <c r="G82" i="6"/>
  <c r="H83" i="6"/>
  <c r="D84" i="6"/>
  <c r="F85" i="6"/>
  <c r="H86" i="6"/>
  <c r="C87" i="6"/>
  <c r="F88" i="6"/>
  <c r="H89" i="6"/>
  <c r="C90" i="6"/>
  <c r="F91" i="6"/>
  <c r="G92" i="6"/>
  <c r="C93" i="6"/>
  <c r="D94" i="6"/>
  <c r="G95" i="6"/>
  <c r="D97" i="6"/>
  <c r="G98" i="6"/>
  <c r="H99" i="6"/>
  <c r="D100" i="6"/>
  <c r="F101" i="6"/>
  <c r="H102" i="6"/>
  <c r="C103" i="6"/>
  <c r="F104" i="6"/>
  <c r="H105" i="6"/>
  <c r="C106" i="6"/>
  <c r="C107" i="6"/>
  <c r="H107" i="6"/>
  <c r="G108" i="6"/>
  <c r="E109" i="6"/>
  <c r="D110" i="6"/>
  <c r="C111" i="6"/>
  <c r="H111" i="6"/>
  <c r="G112" i="6"/>
  <c r="E113" i="6"/>
  <c r="D114" i="6"/>
  <c r="C115" i="6"/>
  <c r="H115" i="6"/>
  <c r="G116" i="6"/>
  <c r="E117" i="6"/>
  <c r="D118" i="6"/>
  <c r="C119" i="6"/>
  <c r="H119" i="6"/>
  <c r="G120" i="6"/>
  <c r="E121" i="6"/>
  <c r="D122" i="6"/>
  <c r="C123" i="6"/>
  <c r="H123" i="6"/>
  <c r="G124" i="6"/>
  <c r="E125" i="6"/>
  <c r="D126" i="6"/>
  <c r="C127" i="6"/>
  <c r="H127" i="6"/>
  <c r="G128" i="6"/>
  <c r="E129" i="6"/>
  <c r="D130" i="6"/>
  <c r="C131" i="6"/>
  <c r="H131" i="6"/>
  <c r="G132" i="6"/>
  <c r="E133" i="6"/>
  <c r="D134" i="6"/>
  <c r="C135" i="6"/>
  <c r="H135" i="6"/>
  <c r="G136" i="6"/>
  <c r="E137" i="6"/>
  <c r="D138" i="6"/>
  <c r="C139" i="6"/>
  <c r="H139" i="6"/>
  <c r="G140" i="6"/>
  <c r="E141" i="6"/>
  <c r="D142" i="6"/>
  <c r="C143" i="6"/>
  <c r="H143" i="6"/>
  <c r="D144" i="6"/>
  <c r="H144" i="6"/>
  <c r="D145" i="6"/>
  <c r="H145" i="6"/>
  <c r="D146" i="6"/>
  <c r="H146" i="6"/>
  <c r="D147" i="6"/>
  <c r="H147" i="6"/>
  <c r="D148" i="6"/>
  <c r="H148" i="6"/>
  <c r="D149" i="6"/>
  <c r="H149" i="6"/>
  <c r="D150" i="6"/>
  <c r="H150" i="6"/>
  <c r="D151" i="6"/>
  <c r="H151" i="6"/>
  <c r="D152" i="6"/>
  <c r="H152" i="6"/>
  <c r="D153" i="6"/>
  <c r="H153" i="6"/>
  <c r="D154" i="6"/>
  <c r="H154" i="6"/>
  <c r="D155" i="6"/>
  <c r="H155" i="6"/>
  <c r="D156" i="6"/>
  <c r="H156" i="6"/>
  <c r="D157" i="6"/>
  <c r="H157" i="6"/>
  <c r="D158" i="6"/>
  <c r="H158" i="6"/>
  <c r="D159" i="6"/>
  <c r="H159" i="6"/>
  <c r="D160" i="6"/>
  <c r="H160" i="6"/>
  <c r="D161" i="6"/>
  <c r="H161" i="6"/>
  <c r="D162" i="6"/>
  <c r="H162" i="6"/>
  <c r="D163" i="6"/>
  <c r="H163" i="6"/>
  <c r="D164" i="6"/>
  <c r="H164" i="6"/>
  <c r="D165" i="6"/>
  <c r="H165" i="6"/>
  <c r="D166" i="6"/>
  <c r="H166" i="6"/>
  <c r="D167" i="6"/>
  <c r="H167" i="6"/>
  <c r="D168" i="6"/>
  <c r="H168" i="6"/>
  <c r="D169" i="6"/>
  <c r="H169" i="6"/>
  <c r="D170" i="6"/>
  <c r="H170" i="6"/>
  <c r="D171" i="6"/>
  <c r="H171" i="6"/>
  <c r="D172" i="6"/>
  <c r="H172" i="6"/>
  <c r="D173" i="6"/>
  <c r="H173" i="6"/>
  <c r="D174" i="6"/>
  <c r="H174" i="6"/>
  <c r="D175" i="6"/>
  <c r="H175" i="6"/>
  <c r="D176" i="6"/>
  <c r="H176" i="6"/>
  <c r="D177" i="6"/>
  <c r="H177" i="6"/>
  <c r="D178" i="6"/>
  <c r="H178" i="6"/>
  <c r="D179" i="6"/>
  <c r="H179" i="6"/>
  <c r="D180" i="6"/>
  <c r="H180" i="6"/>
  <c r="D181" i="6"/>
  <c r="H181" i="6"/>
  <c r="D182" i="6"/>
  <c r="H182" i="6"/>
  <c r="D183" i="6"/>
  <c r="H183" i="6"/>
  <c r="D184" i="6"/>
  <c r="H184" i="6"/>
  <c r="D185" i="6"/>
  <c r="H185" i="6"/>
  <c r="D186" i="6"/>
  <c r="H186" i="6"/>
  <c r="D187" i="6"/>
  <c r="H187" i="6"/>
  <c r="D188" i="6"/>
  <c r="H188" i="6"/>
  <c r="D189" i="6"/>
  <c r="H189" i="6"/>
  <c r="D190" i="6"/>
  <c r="H190" i="6"/>
  <c r="D191" i="6"/>
  <c r="H191" i="6"/>
  <c r="D192" i="6"/>
  <c r="H192" i="6"/>
  <c r="D193" i="6"/>
  <c r="H193" i="6"/>
  <c r="D194" i="6"/>
  <c r="H194" i="6"/>
  <c r="D195" i="6"/>
  <c r="H195" i="6"/>
  <c r="D196" i="6"/>
  <c r="H196" i="6"/>
  <c r="D197" i="6"/>
  <c r="H197" i="6"/>
  <c r="D198" i="6"/>
  <c r="H198" i="6"/>
  <c r="D199" i="6"/>
  <c r="H199" i="6"/>
  <c r="G54" i="6"/>
  <c r="G60" i="6"/>
  <c r="C65" i="6"/>
  <c r="C69" i="6"/>
  <c r="D76" i="6"/>
  <c r="H79" i="6"/>
  <c r="F84" i="6"/>
  <c r="C89" i="6"/>
  <c r="G91" i="6"/>
  <c r="D96" i="6"/>
  <c r="H98" i="6"/>
  <c r="F103" i="6"/>
  <c r="G109" i="6"/>
  <c r="D111" i="6"/>
  <c r="H116" i="6"/>
  <c r="E118" i="6"/>
  <c r="C120" i="6"/>
  <c r="G125" i="6"/>
  <c r="D127" i="6"/>
  <c r="E128" i="6"/>
  <c r="D129" i="6"/>
  <c r="C130" i="6"/>
  <c r="H134" i="6"/>
  <c r="G135" i="6"/>
  <c r="E136" i="6"/>
  <c r="D137" i="6"/>
  <c r="C138" i="6"/>
  <c r="H142" i="6"/>
  <c r="G143" i="6"/>
  <c r="C144" i="6"/>
  <c r="G145" i="6"/>
  <c r="C146" i="6"/>
  <c r="G147" i="6"/>
  <c r="F148" i="6"/>
  <c r="E149" i="6"/>
  <c r="C150" i="6"/>
  <c r="G151" i="6"/>
  <c r="F152" i="6"/>
  <c r="E153" i="6"/>
  <c r="C154" i="6"/>
  <c r="G155" i="6"/>
  <c r="F156" i="6"/>
  <c r="E157" i="6"/>
  <c r="C158" i="6"/>
  <c r="G159" i="6"/>
  <c r="D29" i="6"/>
  <c r="G44" i="6"/>
  <c r="H61" i="6"/>
  <c r="E66" i="6"/>
  <c r="H73" i="6"/>
  <c r="C77" i="6"/>
  <c r="D80" i="6"/>
  <c r="H82" i="6"/>
  <c r="F87" i="6"/>
  <c r="G94" i="6"/>
  <c r="C99" i="6"/>
  <c r="H101" i="6"/>
  <c r="D106" i="6"/>
  <c r="C108" i="6"/>
  <c r="G113" i="6"/>
  <c r="D115" i="6"/>
  <c r="H120" i="6"/>
  <c r="E122" i="6"/>
  <c r="C124" i="6"/>
  <c r="H128" i="6"/>
  <c r="G129" i="6"/>
  <c r="E130" i="6"/>
  <c r="D131" i="6"/>
  <c r="C132" i="6"/>
  <c r="H136" i="6"/>
  <c r="G137" i="6"/>
  <c r="E138" i="6"/>
  <c r="D139" i="6"/>
  <c r="C140" i="6"/>
  <c r="E144" i="6"/>
  <c r="E146" i="6"/>
  <c r="C147" i="6"/>
  <c r="G148" i="6"/>
  <c r="F149" i="6"/>
  <c r="E150" i="6"/>
  <c r="C151" i="6"/>
  <c r="G152" i="6"/>
  <c r="F153" i="6"/>
  <c r="E154" i="6"/>
  <c r="C155" i="6"/>
  <c r="G156" i="6"/>
  <c r="F157" i="6"/>
  <c r="E158" i="6"/>
  <c r="C159" i="6"/>
  <c r="G160" i="6"/>
  <c r="F161" i="6"/>
  <c r="E162" i="6"/>
  <c r="C163" i="6"/>
  <c r="G164" i="6"/>
  <c r="F165" i="6"/>
  <c r="E166" i="6"/>
  <c r="C167" i="6"/>
  <c r="G168" i="6"/>
  <c r="F169" i="6"/>
  <c r="E170" i="6"/>
  <c r="C171" i="6"/>
  <c r="G172" i="6"/>
  <c r="F173" i="6"/>
  <c r="E174" i="6"/>
  <c r="C175" i="6"/>
  <c r="G176" i="6"/>
  <c r="F177" i="6"/>
  <c r="E178" i="6"/>
  <c r="C179" i="6"/>
  <c r="G180" i="6"/>
  <c r="F181" i="6"/>
  <c r="E182" i="6"/>
  <c r="F67" i="6"/>
  <c r="G74" i="6"/>
  <c r="C83" i="6"/>
  <c r="H85" i="6"/>
  <c r="D90" i="6"/>
  <c r="F97" i="6"/>
  <c r="C102" i="6"/>
  <c r="G104" i="6"/>
  <c r="H108" i="6"/>
  <c r="E110" i="6"/>
  <c r="C112" i="6"/>
  <c r="G117" i="6"/>
  <c r="D119" i="6"/>
  <c r="H124" i="6"/>
  <c r="E126" i="6"/>
  <c r="H130" i="6"/>
  <c r="G131" i="6"/>
  <c r="E132" i="6"/>
  <c r="D133" i="6"/>
  <c r="C134" i="6"/>
  <c r="H138" i="6"/>
  <c r="G139" i="6"/>
  <c r="E140" i="6"/>
  <c r="D141" i="6"/>
  <c r="C142" i="6"/>
  <c r="G144" i="6"/>
  <c r="C145" i="6"/>
  <c r="F146" i="6"/>
  <c r="E147" i="6"/>
  <c r="C148" i="6"/>
  <c r="G149" i="6"/>
  <c r="F150" i="6"/>
  <c r="E151" i="6"/>
  <c r="C152" i="6"/>
  <c r="G153" i="6"/>
  <c r="F154" i="6"/>
  <c r="E155" i="6"/>
  <c r="C156" i="6"/>
  <c r="G157" i="6"/>
  <c r="F158" i="6"/>
  <c r="E159" i="6"/>
  <c r="C160" i="6"/>
  <c r="G161" i="6"/>
  <c r="F162" i="6"/>
  <c r="E163" i="6"/>
  <c r="C164" i="6"/>
  <c r="G165" i="6"/>
  <c r="F166" i="6"/>
  <c r="E167" i="6"/>
  <c r="C168" i="6"/>
  <c r="G169" i="6"/>
  <c r="F170" i="6"/>
  <c r="E171" i="6"/>
  <c r="C172" i="6"/>
  <c r="G173" i="6"/>
  <c r="F174" i="6"/>
  <c r="E175" i="6"/>
  <c r="C176" i="6"/>
  <c r="G177" i="6"/>
  <c r="F178" i="6"/>
  <c r="E179" i="6"/>
  <c r="C180" i="6"/>
  <c r="G181" i="6"/>
  <c r="F182" i="6"/>
  <c r="E183" i="6"/>
  <c r="C184" i="6"/>
  <c r="G185" i="6"/>
  <c r="F186" i="6"/>
  <c r="E187" i="6"/>
  <c r="C188" i="6"/>
  <c r="G189" i="6"/>
  <c r="F190" i="6"/>
  <c r="E191" i="6"/>
  <c r="C192" i="6"/>
  <c r="G193" i="6"/>
  <c r="F194" i="6"/>
  <c r="E195" i="6"/>
  <c r="C196" i="6"/>
  <c r="G197" i="6"/>
  <c r="F198" i="6"/>
  <c r="E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E37" i="6"/>
  <c r="D68" i="6"/>
  <c r="F81" i="6"/>
  <c r="F100" i="6"/>
  <c r="C116" i="6"/>
  <c r="D123" i="6"/>
  <c r="H132" i="6"/>
  <c r="C136" i="6"/>
  <c r="D143" i="6"/>
  <c r="F151" i="6"/>
  <c r="C153" i="6"/>
  <c r="G158" i="6"/>
  <c r="E160" i="6"/>
  <c r="C161" i="6"/>
  <c r="G166" i="6"/>
  <c r="F167" i="6"/>
  <c r="E168" i="6"/>
  <c r="C169" i="6"/>
  <c r="G174" i="6"/>
  <c r="F175" i="6"/>
  <c r="E176" i="6"/>
  <c r="C177" i="6"/>
  <c r="G182" i="6"/>
  <c r="C183" i="6"/>
  <c r="F184" i="6"/>
  <c r="C186" i="6"/>
  <c r="F187" i="6"/>
  <c r="G188" i="6"/>
  <c r="C189" i="6"/>
  <c r="E190" i="6"/>
  <c r="G191" i="6"/>
  <c r="E193" i="6"/>
  <c r="G194" i="6"/>
  <c r="E196" i="6"/>
  <c r="F197" i="6"/>
  <c r="C199" i="6"/>
  <c r="D200" i="6"/>
  <c r="C201" i="6"/>
  <c r="H201" i="6"/>
  <c r="G202" i="6"/>
  <c r="E203" i="6"/>
  <c r="D204" i="6"/>
  <c r="C205" i="6"/>
  <c r="H205" i="6"/>
  <c r="G206" i="6"/>
  <c r="E207" i="6"/>
  <c r="D208" i="6"/>
  <c r="C209" i="6"/>
  <c r="H209" i="6"/>
  <c r="G210" i="6"/>
  <c r="E211" i="6"/>
  <c r="D212" i="6"/>
  <c r="C213" i="6"/>
  <c r="H213" i="6"/>
  <c r="G214" i="6"/>
  <c r="E215" i="6"/>
  <c r="D216" i="6"/>
  <c r="C217" i="6"/>
  <c r="H217" i="6"/>
  <c r="G218" i="6"/>
  <c r="E219" i="6"/>
  <c r="D220" i="6"/>
  <c r="C221" i="6"/>
  <c r="H221" i="6"/>
  <c r="G222" i="6"/>
  <c r="E223" i="6"/>
  <c r="D224" i="6"/>
  <c r="C225" i="6"/>
  <c r="H225" i="6"/>
  <c r="G226" i="6"/>
  <c r="E227" i="6"/>
  <c r="D228" i="6"/>
  <c r="C229" i="6"/>
  <c r="H229" i="6"/>
  <c r="G230" i="6"/>
  <c r="E231" i="6"/>
  <c r="D232" i="6"/>
  <c r="C233" i="6"/>
  <c r="H233" i="6"/>
  <c r="G234" i="6"/>
  <c r="E235" i="6"/>
  <c r="D236" i="6"/>
  <c r="C237" i="6"/>
  <c r="H237" i="6"/>
  <c r="G238" i="6"/>
  <c r="E239" i="6"/>
  <c r="D240" i="6"/>
  <c r="C241" i="6"/>
  <c r="H241" i="6"/>
  <c r="H51" i="6"/>
  <c r="D93" i="6"/>
  <c r="G133" i="6"/>
  <c r="H140" i="6"/>
  <c r="G146" i="6"/>
  <c r="E148" i="6"/>
  <c r="F155" i="6"/>
  <c r="C157" i="6"/>
  <c r="F160" i="6"/>
  <c r="E161" i="6"/>
  <c r="C162" i="6"/>
  <c r="G167" i="6"/>
  <c r="F168" i="6"/>
  <c r="E169" i="6"/>
  <c r="C170" i="6"/>
  <c r="G175" i="6"/>
  <c r="F176" i="6"/>
  <c r="E177" i="6"/>
  <c r="C178" i="6"/>
  <c r="F183" i="6"/>
  <c r="G184" i="6"/>
  <c r="C185" i="6"/>
  <c r="E186" i="6"/>
  <c r="G187" i="6"/>
  <c r="E189" i="6"/>
  <c r="G190" i="6"/>
  <c r="E192" i="6"/>
  <c r="F193" i="6"/>
  <c r="C195" i="6"/>
  <c r="F196" i="6"/>
  <c r="C198" i="6"/>
  <c r="F199" i="6"/>
  <c r="E200" i="6"/>
  <c r="D201" i="6"/>
  <c r="C202" i="6"/>
  <c r="H202" i="6"/>
  <c r="G203" i="6"/>
  <c r="E204" i="6"/>
  <c r="D205" i="6"/>
  <c r="C206" i="6"/>
  <c r="H206" i="6"/>
  <c r="G207" i="6"/>
  <c r="E208" i="6"/>
  <c r="D209" i="6"/>
  <c r="C210" i="6"/>
  <c r="H210" i="6"/>
  <c r="G211" i="6"/>
  <c r="E212" i="6"/>
  <c r="D213" i="6"/>
  <c r="C214" i="6"/>
  <c r="H214" i="6"/>
  <c r="G215" i="6"/>
  <c r="E216" i="6"/>
  <c r="D217" i="6"/>
  <c r="C218" i="6"/>
  <c r="H218" i="6"/>
  <c r="G219" i="6"/>
  <c r="E220" i="6"/>
  <c r="D221" i="6"/>
  <c r="C222" i="6"/>
  <c r="H222" i="6"/>
  <c r="G223" i="6"/>
  <c r="E224" i="6"/>
  <c r="D225" i="6"/>
  <c r="C226" i="6"/>
  <c r="H226" i="6"/>
  <c r="G227" i="6"/>
  <c r="E228" i="6"/>
  <c r="D229" i="6"/>
  <c r="C230" i="6"/>
  <c r="H230" i="6"/>
  <c r="G231" i="6"/>
  <c r="E232" i="6"/>
  <c r="D233" i="6"/>
  <c r="C234" i="6"/>
  <c r="H234" i="6"/>
  <c r="G235" i="6"/>
  <c r="E236" i="6"/>
  <c r="D237" i="6"/>
  <c r="C238" i="6"/>
  <c r="H238" i="6"/>
  <c r="G239" i="6"/>
  <c r="E240" i="6"/>
  <c r="D241" i="6"/>
  <c r="D59" i="6"/>
  <c r="F75" i="6"/>
  <c r="C86" i="6"/>
  <c r="H95" i="6"/>
  <c r="C105" i="6"/>
  <c r="H112" i="6"/>
  <c r="E134" i="6"/>
  <c r="G141" i="6"/>
  <c r="G150" i="6"/>
  <c r="E152" i="6"/>
  <c r="F159" i="6"/>
  <c r="G162" i="6"/>
  <c r="F163" i="6"/>
  <c r="E164" i="6"/>
  <c r="C165" i="6"/>
  <c r="G170" i="6"/>
  <c r="F171" i="6"/>
  <c r="E172" i="6"/>
  <c r="C173" i="6"/>
  <c r="G178" i="6"/>
  <c r="F179" i="6"/>
  <c r="E180" i="6"/>
  <c r="C181" i="6"/>
  <c r="G183" i="6"/>
  <c r="E185" i="6"/>
  <c r="G186" i="6"/>
  <c r="E188" i="6"/>
  <c r="F189" i="6"/>
  <c r="C191" i="6"/>
  <c r="F192" i="6"/>
  <c r="C194" i="6"/>
  <c r="F195" i="6"/>
  <c r="G196" i="6"/>
  <c r="C197" i="6"/>
  <c r="E198" i="6"/>
  <c r="G199" i="6"/>
  <c r="G200" i="6"/>
  <c r="E201" i="6"/>
  <c r="D202" i="6"/>
  <c r="C203" i="6"/>
  <c r="H203" i="6"/>
  <c r="G204" i="6"/>
  <c r="E205" i="6"/>
  <c r="D206" i="6"/>
  <c r="C207" i="6"/>
  <c r="H207" i="6"/>
  <c r="G208" i="6"/>
  <c r="E209" i="6"/>
  <c r="D210" i="6"/>
  <c r="C211" i="6"/>
  <c r="H211" i="6"/>
  <c r="G212" i="6"/>
  <c r="E213" i="6"/>
  <c r="D214" i="6"/>
  <c r="C215" i="6"/>
  <c r="H215" i="6"/>
  <c r="G216" i="6"/>
  <c r="E217" i="6"/>
  <c r="D218" i="6"/>
  <c r="C219" i="6"/>
  <c r="H219" i="6"/>
  <c r="G220" i="6"/>
  <c r="E221" i="6"/>
  <c r="D222" i="6"/>
  <c r="C223" i="6"/>
  <c r="H223" i="6"/>
  <c r="G224" i="6"/>
  <c r="E225" i="6"/>
  <c r="D226" i="6"/>
  <c r="C227" i="6"/>
  <c r="H227" i="6"/>
  <c r="G228" i="6"/>
  <c r="E229" i="6"/>
  <c r="D230" i="6"/>
  <c r="C231" i="6"/>
  <c r="H231" i="6"/>
  <c r="G232" i="6"/>
  <c r="E233" i="6"/>
  <c r="D234" i="6"/>
  <c r="C235" i="6"/>
  <c r="H235" i="6"/>
  <c r="G236" i="6"/>
  <c r="E237" i="6"/>
  <c r="D238" i="6"/>
  <c r="C239" i="6"/>
  <c r="H239" i="6"/>
  <c r="G240" i="6"/>
  <c r="E241" i="6"/>
  <c r="D242" i="6"/>
  <c r="C243" i="6"/>
  <c r="H243" i="6"/>
  <c r="G244" i="6"/>
  <c r="E245" i="6"/>
  <c r="D246" i="6"/>
  <c r="C247" i="6"/>
  <c r="H247" i="6"/>
  <c r="G248" i="6"/>
  <c r="E249" i="6"/>
  <c r="D250" i="6"/>
  <c r="C251" i="6"/>
  <c r="H251" i="6"/>
  <c r="G252" i="6"/>
  <c r="E253" i="6"/>
  <c r="D254" i="6"/>
  <c r="C255" i="6"/>
  <c r="H255" i="6"/>
  <c r="D256" i="6"/>
  <c r="H256" i="6"/>
  <c r="D257" i="6"/>
  <c r="H257" i="6"/>
  <c r="D258" i="6"/>
  <c r="H258" i="6"/>
  <c r="D259" i="6"/>
  <c r="H259" i="6"/>
  <c r="D260" i="6"/>
  <c r="H260" i="6"/>
  <c r="D261" i="6"/>
  <c r="H261" i="6"/>
  <c r="D262" i="6"/>
  <c r="H262" i="6"/>
  <c r="D263" i="6"/>
  <c r="H263" i="6"/>
  <c r="D264" i="6"/>
  <c r="H264" i="6"/>
  <c r="D265" i="6"/>
  <c r="H265" i="6"/>
  <c r="D266" i="6"/>
  <c r="H266" i="6"/>
  <c r="D267" i="6"/>
  <c r="H267" i="6"/>
  <c r="D268" i="6"/>
  <c r="H268" i="6"/>
  <c r="D269" i="6"/>
  <c r="H269" i="6"/>
  <c r="D270" i="6"/>
  <c r="H270" i="6"/>
  <c r="D271" i="6"/>
  <c r="H271" i="6"/>
  <c r="D272" i="6"/>
  <c r="H272" i="6"/>
  <c r="D273" i="6"/>
  <c r="H273" i="6"/>
  <c r="D274" i="6"/>
  <c r="H274" i="6"/>
  <c r="D275" i="6"/>
  <c r="H275" i="6"/>
  <c r="D276" i="6"/>
  <c r="H276" i="6"/>
  <c r="D277" i="6"/>
  <c r="H277" i="6"/>
  <c r="D278" i="6"/>
  <c r="H278" i="6"/>
  <c r="D279" i="6"/>
  <c r="H279" i="6"/>
  <c r="D280" i="6"/>
  <c r="H280" i="6"/>
  <c r="D281" i="6"/>
  <c r="H281" i="6"/>
  <c r="D282" i="6"/>
  <c r="H282" i="6"/>
  <c r="D283" i="6"/>
  <c r="H283" i="6"/>
  <c r="D284" i="6"/>
  <c r="H284" i="6"/>
  <c r="D285" i="6"/>
  <c r="H285" i="6"/>
  <c r="D286" i="6"/>
  <c r="H286" i="6"/>
  <c r="D287" i="6"/>
  <c r="H287" i="6"/>
  <c r="D288" i="6"/>
  <c r="H288" i="6"/>
  <c r="D289" i="6"/>
  <c r="H289" i="6"/>
  <c r="D290" i="6"/>
  <c r="H290" i="6"/>
  <c r="D291" i="6"/>
  <c r="H291" i="6"/>
  <c r="D292" i="6"/>
  <c r="H292" i="6"/>
  <c r="D293" i="6"/>
  <c r="H293" i="6"/>
  <c r="D294" i="6"/>
  <c r="H294" i="6"/>
  <c r="D295" i="6"/>
  <c r="H295" i="6"/>
  <c r="D296" i="6"/>
  <c r="H296" i="6"/>
  <c r="D297" i="6"/>
  <c r="H297" i="6"/>
  <c r="D298" i="6"/>
  <c r="H298" i="6"/>
  <c r="D107" i="6"/>
  <c r="E145" i="6"/>
  <c r="G163" i="6"/>
  <c r="C174" i="6"/>
  <c r="E181" i="6"/>
  <c r="E184" i="6"/>
  <c r="F191" i="6"/>
  <c r="G198" i="6"/>
  <c r="H200" i="6"/>
  <c r="E202" i="6"/>
  <c r="C204" i="6"/>
  <c r="G209" i="6"/>
  <c r="D211" i="6"/>
  <c r="H216" i="6"/>
  <c r="E218" i="6"/>
  <c r="C220" i="6"/>
  <c r="G225" i="6"/>
  <c r="D227" i="6"/>
  <c r="H232" i="6"/>
  <c r="E234" i="6"/>
  <c r="C236" i="6"/>
  <c r="G241" i="6"/>
  <c r="E242" i="6"/>
  <c r="G243" i="6"/>
  <c r="C244" i="6"/>
  <c r="D245" i="6"/>
  <c r="G246" i="6"/>
  <c r="D248" i="6"/>
  <c r="G249" i="6"/>
  <c r="H250" i="6"/>
  <c r="D251" i="6"/>
  <c r="E252" i="6"/>
  <c r="H253" i="6"/>
  <c r="C254" i="6"/>
  <c r="E255" i="6"/>
  <c r="E256" i="6"/>
  <c r="C257" i="6"/>
  <c r="G258" i="6"/>
  <c r="F259" i="6"/>
  <c r="E260" i="6"/>
  <c r="C261" i="6"/>
  <c r="G262" i="6"/>
  <c r="F263" i="6"/>
  <c r="E264" i="6"/>
  <c r="C265" i="6"/>
  <c r="G266" i="6"/>
  <c r="F267" i="6"/>
  <c r="E268" i="6"/>
  <c r="C269" i="6"/>
  <c r="G270" i="6"/>
  <c r="F271" i="6"/>
  <c r="E272" i="6"/>
  <c r="C273" i="6"/>
  <c r="G274" i="6"/>
  <c r="F275" i="6"/>
  <c r="E276" i="6"/>
  <c r="C277" i="6"/>
  <c r="G278" i="6"/>
  <c r="F279" i="6"/>
  <c r="E280" i="6"/>
  <c r="C281" i="6"/>
  <c r="G282" i="6"/>
  <c r="F283" i="6"/>
  <c r="E284" i="6"/>
  <c r="C285" i="6"/>
  <c r="G286" i="6"/>
  <c r="F287" i="6"/>
  <c r="E288" i="6"/>
  <c r="C289" i="6"/>
  <c r="G290" i="6"/>
  <c r="F291" i="6"/>
  <c r="E292" i="6"/>
  <c r="C293" i="6"/>
  <c r="G294" i="6"/>
  <c r="F295" i="6"/>
  <c r="E296" i="6"/>
  <c r="C297" i="6"/>
  <c r="G298" i="6"/>
  <c r="D299" i="6"/>
  <c r="H299" i="6"/>
  <c r="D300" i="6"/>
  <c r="H300" i="6"/>
  <c r="D301" i="6"/>
  <c r="H301" i="6"/>
  <c r="D302" i="6"/>
  <c r="H302" i="6"/>
  <c r="D303" i="6"/>
  <c r="H303" i="6"/>
  <c r="D304" i="6"/>
  <c r="H304" i="6"/>
  <c r="D305" i="6"/>
  <c r="H305" i="6"/>
  <c r="D306" i="6"/>
  <c r="H306" i="6"/>
  <c r="D307" i="6"/>
  <c r="H307" i="6"/>
  <c r="D308" i="6"/>
  <c r="H308" i="6"/>
  <c r="D309" i="6"/>
  <c r="H309" i="6"/>
  <c r="D310" i="6"/>
  <c r="H310" i="6"/>
  <c r="D311" i="6"/>
  <c r="H311" i="6"/>
  <c r="D312" i="6"/>
  <c r="H312" i="6"/>
  <c r="D313" i="6"/>
  <c r="H313" i="6"/>
  <c r="D314" i="6"/>
  <c r="H314" i="6"/>
  <c r="D315" i="6"/>
  <c r="H315" i="6"/>
  <c r="D316" i="6"/>
  <c r="H316" i="6"/>
  <c r="D317" i="6"/>
  <c r="H317" i="6"/>
  <c r="D318" i="6"/>
  <c r="H318" i="6"/>
  <c r="D319" i="6"/>
  <c r="H319" i="6"/>
  <c r="D320" i="6"/>
  <c r="H320" i="6"/>
  <c r="D321" i="6"/>
  <c r="H321" i="6"/>
  <c r="D322" i="6"/>
  <c r="H322" i="6"/>
  <c r="D323" i="6"/>
  <c r="H323" i="6"/>
  <c r="D324" i="6"/>
  <c r="H324" i="6"/>
  <c r="D325" i="6"/>
  <c r="H325" i="6"/>
  <c r="D326" i="6"/>
  <c r="H326" i="6"/>
  <c r="D327" i="6"/>
  <c r="H327" i="6"/>
  <c r="D328" i="6"/>
  <c r="H328" i="6"/>
  <c r="D329" i="6"/>
  <c r="H329" i="6"/>
  <c r="D330" i="6"/>
  <c r="H330" i="6"/>
  <c r="D331" i="6"/>
  <c r="H331" i="6"/>
  <c r="D332" i="6"/>
  <c r="H332" i="6"/>
  <c r="D333" i="6"/>
  <c r="H333" i="6"/>
  <c r="D334" i="6"/>
  <c r="H334" i="6"/>
  <c r="D335" i="6"/>
  <c r="H335" i="6"/>
  <c r="D336" i="6"/>
  <c r="H336" i="6"/>
  <c r="D337" i="6"/>
  <c r="H337" i="6"/>
  <c r="D338" i="6"/>
  <c r="H338" i="6"/>
  <c r="D339" i="6"/>
  <c r="H339" i="6"/>
  <c r="D340" i="6"/>
  <c r="H340" i="6"/>
  <c r="D341" i="6"/>
  <c r="H341" i="6"/>
  <c r="D342" i="6"/>
  <c r="H342" i="6"/>
  <c r="D343" i="6"/>
  <c r="H343" i="6"/>
  <c r="D344" i="6"/>
  <c r="H344" i="6"/>
  <c r="D345" i="6"/>
  <c r="H345" i="6"/>
  <c r="D346" i="6"/>
  <c r="H346" i="6"/>
  <c r="D347" i="6"/>
  <c r="H347" i="6"/>
  <c r="D348" i="6"/>
  <c r="H348" i="6"/>
  <c r="D349" i="6"/>
  <c r="H349" i="6"/>
  <c r="E114" i="6"/>
  <c r="D135" i="6"/>
  <c r="F147" i="6"/>
  <c r="G154" i="6"/>
  <c r="F164" i="6"/>
  <c r="G171" i="6"/>
  <c r="C182" i="6"/>
  <c r="C187" i="6"/>
  <c r="E194" i="6"/>
  <c r="H204" i="6"/>
  <c r="E206" i="6"/>
  <c r="C208" i="6"/>
  <c r="G213" i="6"/>
  <c r="D215" i="6"/>
  <c r="H220" i="6"/>
  <c r="E222" i="6"/>
  <c r="C224" i="6"/>
  <c r="G229" i="6"/>
  <c r="D231" i="6"/>
  <c r="H236" i="6"/>
  <c r="E238" i="6"/>
  <c r="C240" i="6"/>
  <c r="G242" i="6"/>
  <c r="D244" i="6"/>
  <c r="G245" i="6"/>
  <c r="H246" i="6"/>
  <c r="D247" i="6"/>
  <c r="E248" i="6"/>
  <c r="H249" i="6"/>
  <c r="C250" i="6"/>
  <c r="E251" i="6"/>
  <c r="H252" i="6"/>
  <c r="C253" i="6"/>
  <c r="E254" i="6"/>
  <c r="G255" i="6"/>
  <c r="F256" i="6"/>
  <c r="E257" i="6"/>
  <c r="C258" i="6"/>
  <c r="G259" i="6"/>
  <c r="F260" i="6"/>
  <c r="E261" i="6"/>
  <c r="C262" i="6"/>
  <c r="G263" i="6"/>
  <c r="F264" i="6"/>
  <c r="E265" i="6"/>
  <c r="C266" i="6"/>
  <c r="G267" i="6"/>
  <c r="F268" i="6"/>
  <c r="E269" i="6"/>
  <c r="C270" i="6"/>
  <c r="G271" i="6"/>
  <c r="F272" i="6"/>
  <c r="E273" i="6"/>
  <c r="C274" i="6"/>
  <c r="G275" i="6"/>
  <c r="F276" i="6"/>
  <c r="E277" i="6"/>
  <c r="C278" i="6"/>
  <c r="G279" i="6"/>
  <c r="F280" i="6"/>
  <c r="E281" i="6"/>
  <c r="C282" i="6"/>
  <c r="G283" i="6"/>
  <c r="F284" i="6"/>
  <c r="E285" i="6"/>
  <c r="C286" i="6"/>
  <c r="G287" i="6"/>
  <c r="F288" i="6"/>
  <c r="E289" i="6"/>
  <c r="C290" i="6"/>
  <c r="G291" i="6"/>
  <c r="F292" i="6"/>
  <c r="E293" i="6"/>
  <c r="C294" i="6"/>
  <c r="G295" i="6"/>
  <c r="F296" i="6"/>
  <c r="E297" i="6"/>
  <c r="C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G88" i="6"/>
  <c r="G121" i="6"/>
  <c r="C149" i="6"/>
  <c r="E156" i="6"/>
  <c r="E165" i="6"/>
  <c r="F172" i="6"/>
  <c r="G179" i="6"/>
  <c r="F185" i="6"/>
  <c r="C190" i="6"/>
  <c r="G192" i="6"/>
  <c r="E197" i="6"/>
  <c r="G201" i="6"/>
  <c r="D203" i="6"/>
  <c r="H208" i="6"/>
  <c r="E210" i="6"/>
  <c r="C212" i="6"/>
  <c r="G217" i="6"/>
  <c r="D219" i="6"/>
  <c r="H224" i="6"/>
  <c r="E226" i="6"/>
  <c r="C228" i="6"/>
  <c r="G233" i="6"/>
  <c r="D235" i="6"/>
  <c r="H240" i="6"/>
  <c r="H242" i="6"/>
  <c r="D243" i="6"/>
  <c r="E244" i="6"/>
  <c r="H245" i="6"/>
  <c r="C246" i="6"/>
  <c r="E247" i="6"/>
  <c r="H248" i="6"/>
  <c r="C249" i="6"/>
  <c r="E250" i="6"/>
  <c r="G251" i="6"/>
  <c r="C252" i="6"/>
  <c r="D253" i="6"/>
  <c r="G254" i="6"/>
  <c r="G256" i="6"/>
  <c r="F257" i="6"/>
  <c r="E258" i="6"/>
  <c r="C259" i="6"/>
  <c r="G260" i="6"/>
  <c r="F261" i="6"/>
  <c r="E262" i="6"/>
  <c r="C263" i="6"/>
  <c r="G264" i="6"/>
  <c r="F265" i="6"/>
  <c r="E266" i="6"/>
  <c r="C267" i="6"/>
  <c r="G268" i="6"/>
  <c r="F269" i="6"/>
  <c r="E270" i="6"/>
  <c r="C271" i="6"/>
  <c r="G272" i="6"/>
  <c r="F273" i="6"/>
  <c r="E274" i="6"/>
  <c r="C275" i="6"/>
  <c r="G276" i="6"/>
  <c r="F277" i="6"/>
  <c r="E278" i="6"/>
  <c r="C279" i="6"/>
  <c r="G280" i="6"/>
  <c r="F281" i="6"/>
  <c r="E282" i="6"/>
  <c r="C283" i="6"/>
  <c r="G284" i="6"/>
  <c r="F285" i="6"/>
  <c r="E286" i="6"/>
  <c r="C287" i="6"/>
  <c r="G288" i="6"/>
  <c r="F289" i="6"/>
  <c r="E290" i="6"/>
  <c r="C291" i="6"/>
  <c r="G292" i="6"/>
  <c r="F293" i="6"/>
  <c r="E294" i="6"/>
  <c r="C295" i="6"/>
  <c r="G296" i="6"/>
  <c r="F297" i="6"/>
  <c r="E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E173" i="6"/>
  <c r="G195" i="6"/>
  <c r="C232" i="6"/>
  <c r="D239" i="6"/>
  <c r="E243" i="6"/>
  <c r="C248" i="6"/>
  <c r="G250" i="6"/>
  <c r="D255" i="6"/>
  <c r="F262" i="6"/>
  <c r="C264" i="6"/>
  <c r="G269" i="6"/>
  <c r="E271" i="6"/>
  <c r="F278" i="6"/>
  <c r="C280" i="6"/>
  <c r="G285" i="6"/>
  <c r="E287" i="6"/>
  <c r="F294" i="6"/>
  <c r="C296" i="6"/>
  <c r="G299" i="6"/>
  <c r="C302" i="6"/>
  <c r="G303" i="6"/>
  <c r="C306" i="6"/>
  <c r="G307" i="6"/>
  <c r="C310" i="6"/>
  <c r="G311" i="6"/>
  <c r="C314" i="6"/>
  <c r="G315" i="6"/>
  <c r="C318" i="6"/>
  <c r="G319" i="6"/>
  <c r="C322" i="6"/>
  <c r="G323" i="6"/>
  <c r="C326" i="6"/>
  <c r="G327" i="6"/>
  <c r="C330" i="6"/>
  <c r="G331" i="6"/>
  <c r="C334" i="6"/>
  <c r="G335" i="6"/>
  <c r="C338" i="6"/>
  <c r="G339" i="6"/>
  <c r="C342" i="6"/>
  <c r="G343" i="6"/>
  <c r="C346" i="6"/>
  <c r="G347" i="6"/>
  <c r="H350" i="6"/>
  <c r="D351" i="6"/>
  <c r="H352" i="6"/>
  <c r="D353" i="6"/>
  <c r="H354" i="6"/>
  <c r="D355" i="6"/>
  <c r="H356" i="6"/>
  <c r="D357" i="6"/>
  <c r="G358" i="6"/>
  <c r="E359" i="6"/>
  <c r="D360" i="6"/>
  <c r="C361" i="6"/>
  <c r="H361" i="6"/>
  <c r="G362" i="6"/>
  <c r="E363" i="6"/>
  <c r="D364" i="6"/>
  <c r="C365" i="6"/>
  <c r="H365" i="6"/>
  <c r="G366" i="6"/>
  <c r="E367" i="6"/>
  <c r="D368" i="6"/>
  <c r="C369" i="6"/>
  <c r="H369" i="6"/>
  <c r="G370" i="6"/>
  <c r="E371" i="6"/>
  <c r="D372" i="6"/>
  <c r="C373" i="6"/>
  <c r="H373" i="6"/>
  <c r="G374" i="6"/>
  <c r="E375" i="6"/>
  <c r="D376" i="6"/>
  <c r="C377" i="6"/>
  <c r="H377" i="6"/>
  <c r="G378" i="6"/>
  <c r="E379" i="6"/>
  <c r="D380" i="6"/>
  <c r="C381" i="6"/>
  <c r="H381" i="6"/>
  <c r="G382" i="6"/>
  <c r="E383" i="6"/>
  <c r="D384" i="6"/>
  <c r="C385" i="6"/>
  <c r="H385" i="6"/>
  <c r="G386" i="6"/>
  <c r="E387" i="6"/>
  <c r="D388" i="6"/>
  <c r="C389" i="6"/>
  <c r="H389" i="6"/>
  <c r="G390" i="6"/>
  <c r="E391" i="6"/>
  <c r="D392" i="6"/>
  <c r="C393" i="6"/>
  <c r="H393" i="6"/>
  <c r="G394" i="6"/>
  <c r="E395" i="6"/>
  <c r="D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C128" i="6"/>
  <c r="F188" i="6"/>
  <c r="G205" i="6"/>
  <c r="H212" i="6"/>
  <c r="E246" i="6"/>
  <c r="G253" i="6"/>
  <c r="G257" i="6"/>
  <c r="E259" i="6"/>
  <c r="F266" i="6"/>
  <c r="C268" i="6"/>
  <c r="G273" i="6"/>
  <c r="E275" i="6"/>
  <c r="F282" i="6"/>
  <c r="C284" i="6"/>
  <c r="G289" i="6"/>
  <c r="E291" i="6"/>
  <c r="F298" i="6"/>
  <c r="C301" i="6"/>
  <c r="G302" i="6"/>
  <c r="C305" i="6"/>
  <c r="G306" i="6"/>
  <c r="C309" i="6"/>
  <c r="G310" i="6"/>
  <c r="C313" i="6"/>
  <c r="G314" i="6"/>
  <c r="C317" i="6"/>
  <c r="G318" i="6"/>
  <c r="C321" i="6"/>
  <c r="G322" i="6"/>
  <c r="C325" i="6"/>
  <c r="G326" i="6"/>
  <c r="C329" i="6"/>
  <c r="G330" i="6"/>
  <c r="C333" i="6"/>
  <c r="G334" i="6"/>
  <c r="C337" i="6"/>
  <c r="G338" i="6"/>
  <c r="C341" i="6"/>
  <c r="G342" i="6"/>
  <c r="C345" i="6"/>
  <c r="G346" i="6"/>
  <c r="C349" i="6"/>
  <c r="C350" i="6"/>
  <c r="G351" i="6"/>
  <c r="C352" i="6"/>
  <c r="G353" i="6"/>
  <c r="C354" i="6"/>
  <c r="G355" i="6"/>
  <c r="C356" i="6"/>
  <c r="G357" i="6"/>
  <c r="C358" i="6"/>
  <c r="H358" i="6"/>
  <c r="G359" i="6"/>
  <c r="E360" i="6"/>
  <c r="D361" i="6"/>
  <c r="C362" i="6"/>
  <c r="H362" i="6"/>
  <c r="G363" i="6"/>
  <c r="E364" i="6"/>
  <c r="D365" i="6"/>
  <c r="C366" i="6"/>
  <c r="H366" i="6"/>
  <c r="G367" i="6"/>
  <c r="E368" i="6"/>
  <c r="D369" i="6"/>
  <c r="C370" i="6"/>
  <c r="H370" i="6"/>
  <c r="G371" i="6"/>
  <c r="E372" i="6"/>
  <c r="D373" i="6"/>
  <c r="C374" i="6"/>
  <c r="H374" i="6"/>
  <c r="G375" i="6"/>
  <c r="E376" i="6"/>
  <c r="D377" i="6"/>
  <c r="C378" i="6"/>
  <c r="H378" i="6"/>
  <c r="G379" i="6"/>
  <c r="E380" i="6"/>
  <c r="D381" i="6"/>
  <c r="C382" i="6"/>
  <c r="H382" i="6"/>
  <c r="G383" i="6"/>
  <c r="E384" i="6"/>
  <c r="D385" i="6"/>
  <c r="C386" i="6"/>
  <c r="H386" i="6"/>
  <c r="G387" i="6"/>
  <c r="E388" i="6"/>
  <c r="D389" i="6"/>
  <c r="C390" i="6"/>
  <c r="H390" i="6"/>
  <c r="G391" i="6"/>
  <c r="E392" i="6"/>
  <c r="D393" i="6"/>
  <c r="C394" i="6"/>
  <c r="H394" i="6"/>
  <c r="G395" i="6"/>
  <c r="E396" i="6"/>
  <c r="C397" i="6"/>
  <c r="G397" i="6"/>
  <c r="C398" i="6"/>
  <c r="G398" i="6"/>
  <c r="C399" i="6"/>
  <c r="G399" i="6"/>
  <c r="C400" i="6"/>
  <c r="G400" i="6"/>
  <c r="C401" i="6"/>
  <c r="G401" i="6"/>
  <c r="C402" i="6"/>
  <c r="G402" i="6"/>
  <c r="C403" i="6"/>
  <c r="G403" i="6"/>
  <c r="C404" i="6"/>
  <c r="G404" i="6"/>
  <c r="C405" i="6"/>
  <c r="G405" i="6"/>
  <c r="C406" i="6"/>
  <c r="G406" i="6"/>
  <c r="C407" i="6"/>
  <c r="G407" i="6"/>
  <c r="C408" i="6"/>
  <c r="G408" i="6"/>
  <c r="C409" i="6"/>
  <c r="G409" i="6"/>
  <c r="C410" i="6"/>
  <c r="G410" i="6"/>
  <c r="C411" i="6"/>
  <c r="G411" i="6"/>
  <c r="C412" i="6"/>
  <c r="G412" i="6"/>
  <c r="C413" i="6"/>
  <c r="G413" i="6"/>
  <c r="C414" i="6"/>
  <c r="G414" i="6"/>
  <c r="C415" i="6"/>
  <c r="G415" i="6"/>
  <c r="C416" i="6"/>
  <c r="G416" i="6"/>
  <c r="C417" i="6"/>
  <c r="G417" i="6"/>
  <c r="C418" i="6"/>
  <c r="G418" i="6"/>
  <c r="C419" i="6"/>
  <c r="G419" i="6"/>
  <c r="C420" i="6"/>
  <c r="G420" i="6"/>
  <c r="C421" i="6"/>
  <c r="G421" i="6"/>
  <c r="C422" i="6"/>
  <c r="G422" i="6"/>
  <c r="C423" i="6"/>
  <c r="G423" i="6"/>
  <c r="C424" i="6"/>
  <c r="E142" i="6"/>
  <c r="C166" i="6"/>
  <c r="F180" i="6"/>
  <c r="C200" i="6"/>
  <c r="D207" i="6"/>
  <c r="E214" i="6"/>
  <c r="G221" i="6"/>
  <c r="H228" i="6"/>
  <c r="C242" i="6"/>
  <c r="H244" i="6"/>
  <c r="D249" i="6"/>
  <c r="C256" i="6"/>
  <c r="G261" i="6"/>
  <c r="E263" i="6"/>
  <c r="F270" i="6"/>
  <c r="C272" i="6"/>
  <c r="G277" i="6"/>
  <c r="E279" i="6"/>
  <c r="F286" i="6"/>
  <c r="C288" i="6"/>
  <c r="G293" i="6"/>
  <c r="E295" i="6"/>
  <c r="C300" i="6"/>
  <c r="G301" i="6"/>
  <c r="C304" i="6"/>
  <c r="G305" i="6"/>
  <c r="C308" i="6"/>
  <c r="G309" i="6"/>
  <c r="C312" i="6"/>
  <c r="G313" i="6"/>
  <c r="C316" i="6"/>
  <c r="G317" i="6"/>
  <c r="C320" i="6"/>
  <c r="G321" i="6"/>
  <c r="C324" i="6"/>
  <c r="G325" i="6"/>
  <c r="C328" i="6"/>
  <c r="G329" i="6"/>
  <c r="C332" i="6"/>
  <c r="G333" i="6"/>
  <c r="C336" i="6"/>
  <c r="G337" i="6"/>
  <c r="C340" i="6"/>
  <c r="G341" i="6"/>
  <c r="C344" i="6"/>
  <c r="G345" i="6"/>
  <c r="C348" i="6"/>
  <c r="G349" i="6"/>
  <c r="D350" i="6"/>
  <c r="H351" i="6"/>
  <c r="D352" i="6"/>
  <c r="H353" i="6"/>
  <c r="D354" i="6"/>
  <c r="H355" i="6"/>
  <c r="D356" i="6"/>
  <c r="H357" i="6"/>
  <c r="D358" i="6"/>
  <c r="C359" i="6"/>
  <c r="H359" i="6"/>
  <c r="G360" i="6"/>
  <c r="E361" i="6"/>
  <c r="D362" i="6"/>
  <c r="C363" i="6"/>
  <c r="H363" i="6"/>
  <c r="G364" i="6"/>
  <c r="E365" i="6"/>
  <c r="D366" i="6"/>
  <c r="C367" i="6"/>
  <c r="H367" i="6"/>
  <c r="G368" i="6"/>
  <c r="E369" i="6"/>
  <c r="D370" i="6"/>
  <c r="C371" i="6"/>
  <c r="H371" i="6"/>
  <c r="G372" i="6"/>
  <c r="E373" i="6"/>
  <c r="D374" i="6"/>
  <c r="C375" i="6"/>
  <c r="H375" i="6"/>
  <c r="G376" i="6"/>
  <c r="E377" i="6"/>
  <c r="D378" i="6"/>
  <c r="C379" i="6"/>
  <c r="H379" i="6"/>
  <c r="G380" i="6"/>
  <c r="E381" i="6"/>
  <c r="D382" i="6"/>
  <c r="C383" i="6"/>
  <c r="H383" i="6"/>
  <c r="G384" i="6"/>
  <c r="E385" i="6"/>
  <c r="D386" i="6"/>
  <c r="C387" i="6"/>
  <c r="H387" i="6"/>
  <c r="G388" i="6"/>
  <c r="E389" i="6"/>
  <c r="D390" i="6"/>
  <c r="C391" i="6"/>
  <c r="H391" i="6"/>
  <c r="G392" i="6"/>
  <c r="E393" i="6"/>
  <c r="D394" i="6"/>
  <c r="C395" i="6"/>
  <c r="H395" i="6"/>
  <c r="G396" i="6"/>
  <c r="D397" i="6"/>
  <c r="H397" i="6"/>
  <c r="D398" i="6"/>
  <c r="H398" i="6"/>
  <c r="D399" i="6"/>
  <c r="H399" i="6"/>
  <c r="D400" i="6"/>
  <c r="H400" i="6"/>
  <c r="D401" i="6"/>
  <c r="H401" i="6"/>
  <c r="D402" i="6"/>
  <c r="H402" i="6"/>
  <c r="D403" i="6"/>
  <c r="H403" i="6"/>
  <c r="D404" i="6"/>
  <c r="H404" i="6"/>
  <c r="D405" i="6"/>
  <c r="H405" i="6"/>
  <c r="D406" i="6"/>
  <c r="H406" i="6"/>
  <c r="D407" i="6"/>
  <c r="H407" i="6"/>
  <c r="D408" i="6"/>
  <c r="H408" i="6"/>
  <c r="D409" i="6"/>
  <c r="H409" i="6"/>
  <c r="D410" i="6"/>
  <c r="H410" i="6"/>
  <c r="D411" i="6"/>
  <c r="H411" i="6"/>
  <c r="D412" i="6"/>
  <c r="H412" i="6"/>
  <c r="D413" i="6"/>
  <c r="H413" i="6"/>
  <c r="D414" i="6"/>
  <c r="H414" i="6"/>
  <c r="D415" i="6"/>
  <c r="H415" i="6"/>
  <c r="D416" i="6"/>
  <c r="H416" i="6"/>
  <c r="D417" i="6"/>
  <c r="H417" i="6"/>
  <c r="D418" i="6"/>
  <c r="H418" i="6"/>
  <c r="D419" i="6"/>
  <c r="H419" i="6"/>
  <c r="D420" i="6"/>
  <c r="H420" i="6"/>
  <c r="D421" i="6"/>
  <c r="H421" i="6"/>
  <c r="D422" i="6"/>
  <c r="H422" i="6"/>
  <c r="D423" i="6"/>
  <c r="H423" i="6"/>
  <c r="D424" i="6"/>
  <c r="H424" i="6"/>
  <c r="D425" i="6"/>
  <c r="H425" i="6"/>
  <c r="D426" i="6"/>
  <c r="H426" i="6"/>
  <c r="D427" i="6"/>
  <c r="H427" i="6"/>
  <c r="D428" i="6"/>
  <c r="H428" i="6"/>
  <c r="D429" i="6"/>
  <c r="H429" i="6"/>
  <c r="D430" i="6"/>
  <c r="H430" i="6"/>
  <c r="D431" i="6"/>
  <c r="H431" i="6"/>
  <c r="D432" i="6"/>
  <c r="H432" i="6"/>
  <c r="D433" i="6"/>
  <c r="H433" i="6"/>
  <c r="D434" i="6"/>
  <c r="H434" i="6"/>
  <c r="D435" i="6"/>
  <c r="H435" i="6"/>
  <c r="D436" i="6"/>
  <c r="H436" i="6"/>
  <c r="D437" i="6"/>
  <c r="H437" i="6"/>
  <c r="D438" i="6"/>
  <c r="H438" i="6"/>
  <c r="D439" i="6"/>
  <c r="H439" i="6"/>
  <c r="D440" i="6"/>
  <c r="H440" i="6"/>
  <c r="D441" i="6"/>
  <c r="H441" i="6"/>
  <c r="D442" i="6"/>
  <c r="H442" i="6"/>
  <c r="D443" i="6"/>
  <c r="H443" i="6"/>
  <c r="D444" i="6"/>
  <c r="H444" i="6"/>
  <c r="D445" i="6"/>
  <c r="H445" i="6"/>
  <c r="D446" i="6"/>
  <c r="H446" i="6"/>
  <c r="D447" i="6"/>
  <c r="H447" i="6"/>
  <c r="D448" i="6"/>
  <c r="H448" i="6"/>
  <c r="D449" i="6"/>
  <c r="H449" i="6"/>
  <c r="D450" i="6"/>
  <c r="H450" i="6"/>
  <c r="D451" i="6"/>
  <c r="H451" i="6"/>
  <c r="D452" i="6"/>
  <c r="H452" i="6"/>
  <c r="D453" i="6"/>
  <c r="H453" i="6"/>
  <c r="D454" i="6"/>
  <c r="H454" i="6"/>
  <c r="D455" i="6"/>
  <c r="H455" i="6"/>
  <c r="D456" i="6"/>
  <c r="H456" i="6"/>
  <c r="D457" i="6"/>
  <c r="H457" i="6"/>
  <c r="D458" i="6"/>
  <c r="H458" i="6"/>
  <c r="D459" i="6"/>
  <c r="H459" i="6"/>
  <c r="D460" i="6"/>
  <c r="H460" i="6"/>
  <c r="D461" i="6"/>
  <c r="H461" i="6"/>
  <c r="D462" i="6"/>
  <c r="H462" i="6"/>
  <c r="D463" i="6"/>
  <c r="H463" i="6"/>
  <c r="D464" i="6"/>
  <c r="H464" i="6"/>
  <c r="D465" i="6"/>
  <c r="H465" i="6"/>
  <c r="D466" i="6"/>
  <c r="H466" i="6"/>
  <c r="D467" i="6"/>
  <c r="H467" i="6"/>
  <c r="D468" i="6"/>
  <c r="H468" i="6"/>
  <c r="D469" i="6"/>
  <c r="H469" i="6"/>
  <c r="D470" i="6"/>
  <c r="H470" i="6"/>
  <c r="D471" i="6"/>
  <c r="H471" i="6"/>
  <c r="D472" i="6"/>
  <c r="H472" i="6"/>
  <c r="D473" i="6"/>
  <c r="H473" i="6"/>
  <c r="D474" i="6"/>
  <c r="H474" i="6"/>
  <c r="D475" i="6"/>
  <c r="H475" i="6"/>
  <c r="D476" i="6"/>
  <c r="H476" i="6"/>
  <c r="D477" i="6"/>
  <c r="H477" i="6"/>
  <c r="D478" i="6"/>
  <c r="H478" i="6"/>
  <c r="D479" i="6"/>
  <c r="H479" i="6"/>
  <c r="D480" i="6"/>
  <c r="H480" i="6"/>
  <c r="D481" i="6"/>
  <c r="H481" i="6"/>
  <c r="D482" i="6"/>
  <c r="H482" i="6"/>
  <c r="D483" i="6"/>
  <c r="H483" i="6"/>
  <c r="D484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F483" i="6"/>
  <c r="G482" i="6"/>
  <c r="C481" i="6"/>
  <c r="E480" i="6"/>
  <c r="F479" i="6"/>
  <c r="G478" i="6"/>
  <c r="C477" i="6"/>
  <c r="E476" i="6"/>
  <c r="F475" i="6"/>
  <c r="G474" i="6"/>
  <c r="C473" i="6"/>
  <c r="E472" i="6"/>
  <c r="F471" i="6"/>
  <c r="G470" i="6"/>
  <c r="C469" i="6"/>
  <c r="E468" i="6"/>
  <c r="F467" i="6"/>
  <c r="G466" i="6"/>
  <c r="C465" i="6"/>
  <c r="E464" i="6"/>
  <c r="F463" i="6"/>
  <c r="G462" i="6"/>
  <c r="C461" i="6"/>
  <c r="E460" i="6"/>
  <c r="F459" i="6"/>
  <c r="G458" i="6"/>
  <c r="C457" i="6"/>
  <c r="E456" i="6"/>
  <c r="F455" i="6"/>
  <c r="G454" i="6"/>
  <c r="C453" i="6"/>
  <c r="E452" i="6"/>
  <c r="F451" i="6"/>
  <c r="E450" i="6"/>
  <c r="E448" i="6"/>
  <c r="E446" i="6"/>
  <c r="E444" i="6"/>
  <c r="E442" i="6"/>
  <c r="E440" i="6"/>
  <c r="E438" i="6"/>
  <c r="E436" i="6"/>
  <c r="E434" i="6"/>
  <c r="E432" i="6"/>
  <c r="E430" i="6"/>
  <c r="E428" i="6"/>
  <c r="E426" i="6"/>
  <c r="E424" i="6"/>
  <c r="E420" i="6"/>
  <c r="E416" i="6"/>
  <c r="E412" i="6"/>
  <c r="E408" i="6"/>
  <c r="E404" i="6"/>
  <c r="E400" i="6"/>
  <c r="C396" i="6"/>
  <c r="E394" i="6"/>
  <c r="H392" i="6"/>
  <c r="D387" i="6"/>
  <c r="G385" i="6"/>
  <c r="C380" i="6"/>
  <c r="E378" i="6"/>
  <c r="H376" i="6"/>
  <c r="D371" i="6"/>
  <c r="G369" i="6"/>
  <c r="C364" i="6"/>
  <c r="E362" i="6"/>
  <c r="H360" i="6"/>
  <c r="G356" i="6"/>
  <c r="C351" i="6"/>
  <c r="C347" i="6"/>
  <c r="G336" i="6"/>
  <c r="C331" i="6"/>
  <c r="G320" i="6"/>
  <c r="C315" i="6"/>
  <c r="G304" i="6"/>
  <c r="C299" i="6"/>
  <c r="C292" i="6"/>
  <c r="G247" i="6"/>
  <c r="E230" i="6"/>
  <c r="H2" i="6"/>
  <c r="G2" i="6"/>
  <c r="F2" i="6"/>
  <c r="D2" i="6"/>
  <c r="C2" i="6"/>
  <c r="A9" i="5"/>
  <c r="A7" i="5"/>
  <c r="A5" i="5"/>
  <c r="A17" i="5"/>
  <c r="A14" i="5"/>
  <c r="A8" i="5"/>
  <c r="A15" i="5"/>
  <c r="C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6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10" i="5"/>
  <c r="A11" i="5"/>
  <c r="A12" i="5"/>
  <c r="A13" i="5"/>
  <c r="A16" i="5"/>
  <c r="A18" i="5"/>
  <c r="A19" i="5"/>
  <c r="A20" i="5"/>
  <c r="A21" i="5"/>
  <c r="A22" i="5"/>
  <c r="A23" i="5"/>
  <c r="R160" i="2"/>
  <c r="R158" i="2"/>
  <c r="R155" i="2"/>
  <c r="R154" i="2"/>
  <c r="R148" i="2"/>
  <c r="R147" i="2"/>
  <c r="R139" i="2"/>
  <c r="R135" i="2"/>
  <c r="R132" i="2"/>
  <c r="R130" i="2"/>
  <c r="R128" i="2"/>
  <c r="R122" i="2"/>
  <c r="R116" i="2"/>
  <c r="R113" i="2"/>
  <c r="R109" i="2"/>
  <c r="R102" i="2"/>
  <c r="R96" i="2"/>
  <c r="R94" i="2"/>
  <c r="R86" i="2"/>
  <c r="R84" i="2"/>
  <c r="R68" i="2"/>
  <c r="R52" i="2"/>
  <c r="R50" i="2"/>
  <c r="L2" i="3"/>
  <c r="L3" i="3"/>
  <c r="C7" i="3"/>
  <c r="C11" i="3"/>
  <c r="C3" i="3"/>
  <c r="C99" i="3"/>
  <c r="C100" i="3"/>
  <c r="C101" i="3"/>
  <c r="C102" i="3"/>
  <c r="C103" i="3"/>
  <c r="C104" i="3"/>
  <c r="C105" i="3"/>
  <c r="C106" i="3"/>
  <c r="C107" i="3"/>
  <c r="C108" i="3"/>
  <c r="C109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31" i="3"/>
  <c r="C30" i="3"/>
  <c r="C29" i="3"/>
  <c r="C28" i="3"/>
  <c r="C27" i="3"/>
  <c r="C26" i="3"/>
  <c r="C25" i="3"/>
  <c r="M11" i="2"/>
  <c r="J9" i="2"/>
  <c r="A2" i="3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C4" i="3"/>
  <c r="C5" i="3"/>
  <c r="C6" i="3"/>
  <c r="C8" i="3"/>
  <c r="C9" i="3"/>
  <c r="C10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" i="3"/>
  <c r="U39" i="2"/>
  <c r="D39" i="2" s="1"/>
  <c r="U18" i="2"/>
  <c r="D18" i="2" s="1"/>
  <c r="U26" i="2"/>
  <c r="D26" i="2" s="1"/>
  <c r="U34" i="2"/>
  <c r="D34" i="2" s="1"/>
  <c r="Q7" i="2"/>
  <c r="Q6" i="2"/>
  <c r="Q5" i="2"/>
  <c r="R100" i="2" s="1"/>
  <c r="Q4" i="2"/>
  <c r="T5" i="2"/>
  <c r="T6" i="2"/>
  <c r="T7" i="2"/>
  <c r="T8" i="2"/>
  <c r="T9" i="2"/>
  <c r="T10" i="2"/>
  <c r="T4" i="2"/>
  <c r="F2" i="1"/>
  <c r="E2" i="1"/>
  <c r="B2" i="1"/>
  <c r="D2" i="1" s="1"/>
  <c r="B3" i="1" s="1"/>
  <c r="F12" i="1" l="1"/>
  <c r="E12" i="1"/>
  <c r="D12" i="1"/>
  <c r="B13" i="1" s="1"/>
  <c r="I2" i="6"/>
  <c r="C17" i="9"/>
  <c r="K489" i="6"/>
  <c r="K493" i="6"/>
  <c r="K497" i="6"/>
  <c r="K501" i="6"/>
  <c r="K485" i="6"/>
  <c r="C17" i="8"/>
  <c r="H17" i="8" s="1"/>
  <c r="K378" i="6"/>
  <c r="K490" i="6"/>
  <c r="K494" i="6"/>
  <c r="M217" i="6"/>
  <c r="N244" i="6"/>
  <c r="K498" i="6"/>
  <c r="K145" i="6"/>
  <c r="I200" i="6"/>
  <c r="M88" i="6"/>
  <c r="M229" i="6"/>
  <c r="M356" i="6"/>
  <c r="M369" i="6"/>
  <c r="M251" i="6"/>
  <c r="J219" i="6"/>
  <c r="J231" i="6"/>
  <c r="I136" i="6"/>
  <c r="L100" i="6"/>
  <c r="N82" i="6"/>
  <c r="M91" i="6"/>
  <c r="N10" i="6"/>
  <c r="L75" i="6"/>
  <c r="I248" i="6"/>
  <c r="M213" i="6"/>
  <c r="J390" i="6"/>
  <c r="J374" i="6"/>
  <c r="J358" i="6"/>
  <c r="J139" i="6"/>
  <c r="M78" i="6"/>
  <c r="K45" i="6"/>
  <c r="L20" i="6"/>
  <c r="I22" i="6"/>
  <c r="I26" i="6"/>
  <c r="J17" i="6"/>
  <c r="M285" i="6"/>
  <c r="M269" i="6"/>
  <c r="N61" i="6"/>
  <c r="I69" i="6"/>
  <c r="M72" i="6"/>
  <c r="L71" i="6"/>
  <c r="K486" i="6"/>
  <c r="M254" i="6"/>
  <c r="K230" i="6"/>
  <c r="K487" i="6"/>
  <c r="K491" i="6"/>
  <c r="K495" i="6"/>
  <c r="K499" i="6"/>
  <c r="K488" i="6"/>
  <c r="K492" i="6"/>
  <c r="K496" i="6"/>
  <c r="K500" i="6"/>
  <c r="N212" i="6"/>
  <c r="I299" i="6"/>
  <c r="I331" i="6"/>
  <c r="I380" i="6"/>
  <c r="K408" i="6"/>
  <c r="K424" i="6"/>
  <c r="K432" i="6"/>
  <c r="K440" i="6"/>
  <c r="K448" i="6"/>
  <c r="N482" i="6"/>
  <c r="N422" i="6"/>
  <c r="N418" i="6"/>
  <c r="N414" i="6"/>
  <c r="N410" i="6"/>
  <c r="N406" i="6"/>
  <c r="N402" i="6"/>
  <c r="N398" i="6"/>
  <c r="K393" i="6"/>
  <c r="N383" i="6"/>
  <c r="K377" i="6"/>
  <c r="N367" i="6"/>
  <c r="K361" i="6"/>
  <c r="J354" i="6"/>
  <c r="J350" i="6"/>
  <c r="I344" i="6"/>
  <c r="I328" i="6"/>
  <c r="I312" i="6"/>
  <c r="M293" i="6"/>
  <c r="M277" i="6"/>
  <c r="M261" i="6"/>
  <c r="I242" i="6"/>
  <c r="J207" i="6"/>
  <c r="K142" i="6"/>
  <c r="M342" i="6"/>
  <c r="M334" i="6"/>
  <c r="M326" i="6"/>
  <c r="M318" i="6"/>
  <c r="M310" i="6"/>
  <c r="M302" i="6"/>
  <c r="M289" i="6"/>
  <c r="M273" i="6"/>
  <c r="M257" i="6"/>
  <c r="M205" i="6"/>
  <c r="K287" i="6"/>
  <c r="K271" i="6"/>
  <c r="J255" i="6"/>
  <c r="J239" i="6"/>
  <c r="M276" i="6"/>
  <c r="M260" i="6"/>
  <c r="M233" i="6"/>
  <c r="N208" i="6"/>
  <c r="M192" i="6"/>
  <c r="L172" i="6"/>
  <c r="M121" i="6"/>
  <c r="M283" i="6"/>
  <c r="M267" i="6"/>
  <c r="N220" i="6"/>
  <c r="K206" i="6"/>
  <c r="I182" i="6"/>
  <c r="L147" i="6"/>
  <c r="K218" i="6"/>
  <c r="L191" i="6"/>
  <c r="M163" i="6"/>
  <c r="K237" i="6"/>
  <c r="L159" i="6"/>
  <c r="K134" i="6"/>
  <c r="I86" i="6"/>
  <c r="K186" i="6"/>
  <c r="I178" i="6"/>
  <c r="I170" i="6"/>
  <c r="I162" i="6"/>
  <c r="L155" i="6"/>
  <c r="M133" i="6"/>
  <c r="K193" i="6"/>
  <c r="L175" i="6"/>
  <c r="L167" i="6"/>
  <c r="M158" i="6"/>
  <c r="N138" i="6"/>
  <c r="M131" i="6"/>
  <c r="J119" i="6"/>
  <c r="N108" i="6"/>
  <c r="J90" i="6"/>
  <c r="L67" i="6"/>
  <c r="J115" i="6"/>
  <c r="N101" i="6"/>
  <c r="K66" i="6"/>
  <c r="J129" i="6"/>
  <c r="I120" i="6"/>
  <c r="M109" i="6"/>
  <c r="J76" i="6"/>
  <c r="M54" i="6"/>
  <c r="K125" i="6"/>
  <c r="N89" i="6"/>
  <c r="M62" i="6"/>
  <c r="I47" i="6"/>
  <c r="K63" i="6"/>
  <c r="J46" i="6"/>
  <c r="J70" i="6"/>
  <c r="K58" i="6"/>
  <c r="M64" i="6"/>
  <c r="K50" i="6"/>
  <c r="J43" i="6"/>
  <c r="N32" i="6"/>
  <c r="N39" i="6"/>
  <c r="L12" i="6"/>
  <c r="I40" i="6"/>
  <c r="I38" i="6"/>
  <c r="M31" i="6"/>
  <c r="J19" i="6"/>
  <c r="N8" i="6"/>
  <c r="J15" i="6"/>
  <c r="N4" i="6"/>
  <c r="N25" i="6"/>
  <c r="J16" i="6"/>
  <c r="I13" i="6"/>
  <c r="N9" i="6"/>
  <c r="L3" i="6"/>
  <c r="J382" i="6"/>
  <c r="J366" i="6"/>
  <c r="J249" i="6"/>
  <c r="M221" i="6"/>
  <c r="L180" i="6"/>
  <c r="M346" i="6"/>
  <c r="M338" i="6"/>
  <c r="M330" i="6"/>
  <c r="M322" i="6"/>
  <c r="M314" i="6"/>
  <c r="M306" i="6"/>
  <c r="I128" i="6"/>
  <c r="N245" i="6"/>
  <c r="K226" i="6"/>
  <c r="M201" i="6"/>
  <c r="L185" i="6"/>
  <c r="K238" i="6"/>
  <c r="I105" i="6"/>
  <c r="K189" i="6"/>
  <c r="I83" i="6"/>
  <c r="M137" i="6"/>
  <c r="J21" i="6"/>
  <c r="M11" i="6"/>
  <c r="K214" i="6"/>
  <c r="I166" i="6"/>
  <c r="K210" i="6"/>
  <c r="K197" i="6"/>
  <c r="I149" i="6"/>
  <c r="K222" i="6"/>
  <c r="K37" i="6"/>
  <c r="L97" i="6"/>
  <c r="N79" i="6"/>
  <c r="I14" i="6"/>
  <c r="K53" i="6"/>
  <c r="N478" i="6"/>
  <c r="N474" i="6"/>
  <c r="N470" i="6"/>
  <c r="N466" i="6"/>
  <c r="I395" i="6"/>
  <c r="I379" i="6"/>
  <c r="I363" i="6"/>
  <c r="N216" i="6"/>
  <c r="M247" i="6"/>
  <c r="I315" i="6"/>
  <c r="I347" i="6"/>
  <c r="I292" i="6"/>
  <c r="M320" i="6"/>
  <c r="I351" i="6"/>
  <c r="I364" i="6"/>
  <c r="N392" i="6"/>
  <c r="K484" i="6"/>
  <c r="N355" i="6"/>
  <c r="M345" i="6"/>
  <c r="M337" i="6"/>
  <c r="M329" i="6"/>
  <c r="M321" i="6"/>
  <c r="M313" i="6"/>
  <c r="M305" i="6"/>
  <c r="K295" i="6"/>
  <c r="K279" i="6"/>
  <c r="K263" i="6"/>
  <c r="K291" i="6"/>
  <c r="K275" i="6"/>
  <c r="K259" i="6"/>
  <c r="L278" i="6"/>
  <c r="L262" i="6"/>
  <c r="K173" i="6"/>
  <c r="L297" i="6"/>
  <c r="L281" i="6"/>
  <c r="L265" i="6"/>
  <c r="N236" i="6"/>
  <c r="I157" i="6"/>
  <c r="N140" i="6"/>
  <c r="I116" i="6"/>
  <c r="I457" i="6"/>
  <c r="I469" i="6"/>
  <c r="N480" i="6"/>
  <c r="I461" i="6"/>
  <c r="I473" i="6"/>
  <c r="K394" i="6"/>
  <c r="I453" i="6"/>
  <c r="I465" i="6"/>
  <c r="I477" i="6"/>
  <c r="I481" i="6"/>
  <c r="N476" i="6"/>
  <c r="K362" i="6"/>
  <c r="N376" i="6"/>
  <c r="J387" i="6"/>
  <c r="K400" i="6"/>
  <c r="M304" i="6"/>
  <c r="M336" i="6"/>
  <c r="N360" i="6"/>
  <c r="J371" i="6"/>
  <c r="M385" i="6"/>
  <c r="K389" i="6"/>
  <c r="K373" i="6"/>
  <c r="N357" i="6"/>
  <c r="N353" i="6"/>
  <c r="M349" i="6"/>
  <c r="M341" i="6"/>
  <c r="M333" i="6"/>
  <c r="M325" i="6"/>
  <c r="M317" i="6"/>
  <c r="M309" i="6"/>
  <c r="M301" i="6"/>
  <c r="I288" i="6"/>
  <c r="I272" i="6"/>
  <c r="I256" i="6"/>
  <c r="N228" i="6"/>
  <c r="M253" i="6"/>
  <c r="L188" i="6"/>
  <c r="M250" i="6"/>
  <c r="I232" i="6"/>
  <c r="J203" i="6"/>
  <c r="I190" i="6"/>
  <c r="K165" i="6"/>
  <c r="M171" i="6"/>
  <c r="J135" i="6"/>
  <c r="K184" i="6"/>
  <c r="N112" i="6"/>
  <c r="K416" i="6"/>
  <c r="L451" i="6"/>
  <c r="L455" i="6"/>
  <c r="L459" i="6"/>
  <c r="L463" i="6"/>
  <c r="L467" i="6"/>
  <c r="L471" i="6"/>
  <c r="L475" i="6"/>
  <c r="L479" i="6"/>
  <c r="L483" i="6"/>
  <c r="N449" i="6"/>
  <c r="N447" i="6"/>
  <c r="N445" i="6"/>
  <c r="N443" i="6"/>
  <c r="N441" i="6"/>
  <c r="N439" i="6"/>
  <c r="N437" i="6"/>
  <c r="N435" i="6"/>
  <c r="N433" i="6"/>
  <c r="N431" i="6"/>
  <c r="N429" i="6"/>
  <c r="N427" i="6"/>
  <c r="N425" i="6"/>
  <c r="N423" i="6"/>
  <c r="N421" i="6"/>
  <c r="N419" i="6"/>
  <c r="N417" i="6"/>
  <c r="N415" i="6"/>
  <c r="N413" i="6"/>
  <c r="N411" i="6"/>
  <c r="N409" i="6"/>
  <c r="N407" i="6"/>
  <c r="N405" i="6"/>
  <c r="N403" i="6"/>
  <c r="N401" i="6"/>
  <c r="N399" i="6"/>
  <c r="N397" i="6"/>
  <c r="N391" i="6"/>
  <c r="M388" i="6"/>
  <c r="N375" i="6"/>
  <c r="M372" i="6"/>
  <c r="N359" i="6"/>
  <c r="J352" i="6"/>
  <c r="I348" i="6"/>
  <c r="I340" i="6"/>
  <c r="I332" i="6"/>
  <c r="I324" i="6"/>
  <c r="I316" i="6"/>
  <c r="I308" i="6"/>
  <c r="I300" i="6"/>
  <c r="L286" i="6"/>
  <c r="L270" i="6"/>
  <c r="L298" i="6"/>
  <c r="L282" i="6"/>
  <c r="L266" i="6"/>
  <c r="K246" i="6"/>
  <c r="M195" i="6"/>
  <c r="K290" i="6"/>
  <c r="K274" i="6"/>
  <c r="K258" i="6"/>
  <c r="N240" i="6"/>
  <c r="K156" i="6"/>
  <c r="K194" i="6"/>
  <c r="L164" i="6"/>
  <c r="K114" i="6"/>
  <c r="J107" i="6"/>
  <c r="M196" i="6"/>
  <c r="M150" i="6"/>
  <c r="J59" i="6"/>
  <c r="M146" i="6"/>
  <c r="N51" i="6"/>
  <c r="I177" i="6"/>
  <c r="I169" i="6"/>
  <c r="I161" i="6"/>
  <c r="J123" i="6"/>
  <c r="J68" i="6"/>
  <c r="L30" i="6"/>
  <c r="J49" i="6"/>
  <c r="N42" i="6"/>
  <c r="J33" i="6"/>
  <c r="L27" i="6"/>
  <c r="I5" i="6"/>
  <c r="N23" i="6"/>
  <c r="N7" i="6"/>
  <c r="K18" i="6"/>
  <c r="I252" i="6"/>
  <c r="J235" i="6"/>
  <c r="N224" i="6"/>
  <c r="M179" i="6"/>
  <c r="I187" i="6"/>
  <c r="M154" i="6"/>
  <c r="I174" i="6"/>
  <c r="N95" i="6"/>
  <c r="N472" i="6"/>
  <c r="N468" i="6"/>
  <c r="N464" i="6"/>
  <c r="N462" i="6"/>
  <c r="N460" i="6"/>
  <c r="N458" i="6"/>
  <c r="N456" i="6"/>
  <c r="N454" i="6"/>
  <c r="N452" i="6"/>
  <c r="N450" i="6"/>
  <c r="N446" i="6"/>
  <c r="N444" i="6"/>
  <c r="N442" i="6"/>
  <c r="N438" i="6"/>
  <c r="N436" i="6"/>
  <c r="N434" i="6"/>
  <c r="N430" i="6"/>
  <c r="N428" i="6"/>
  <c r="N426" i="6"/>
  <c r="N420" i="6"/>
  <c r="N412" i="6"/>
  <c r="N404" i="6"/>
  <c r="M396" i="6"/>
  <c r="N386" i="6"/>
  <c r="N370" i="6"/>
  <c r="J384" i="6"/>
  <c r="I381" i="6"/>
  <c r="J368" i="6"/>
  <c r="I365" i="6"/>
  <c r="M296" i="6"/>
  <c r="M284" i="6"/>
  <c r="M280" i="6"/>
  <c r="M268" i="6"/>
  <c r="M264" i="6"/>
  <c r="J243" i="6"/>
  <c r="K343" i="6"/>
  <c r="K339" i="6"/>
  <c r="K335" i="6"/>
  <c r="K327" i="6"/>
  <c r="K323" i="6"/>
  <c r="K319" i="6"/>
  <c r="K311" i="6"/>
  <c r="K307" i="6"/>
  <c r="K303" i="6"/>
  <c r="I204" i="6"/>
  <c r="J234" i="6"/>
  <c r="N227" i="6"/>
  <c r="I215" i="6"/>
  <c r="N211" i="6"/>
  <c r="J202" i="6"/>
  <c r="K198" i="6"/>
  <c r="I181" i="6"/>
  <c r="I241" i="6"/>
  <c r="I225" i="6"/>
  <c r="I209" i="6"/>
  <c r="I199" i="6"/>
  <c r="I183" i="6"/>
  <c r="L223" i="6"/>
  <c r="K151" i="6"/>
  <c r="I132" i="6"/>
  <c r="M143" i="6"/>
  <c r="J176" i="6"/>
  <c r="J168" i="6"/>
  <c r="J160" i="6"/>
  <c r="J152" i="6"/>
  <c r="J148" i="6"/>
  <c r="J144" i="6"/>
  <c r="K141" i="6"/>
  <c r="J122" i="6"/>
  <c r="I106" i="6"/>
  <c r="N102" i="6"/>
  <c r="M98" i="6"/>
  <c r="I93" i="6"/>
  <c r="L85" i="6"/>
  <c r="J81" i="6"/>
  <c r="L73" i="6"/>
  <c r="M127" i="6"/>
  <c r="K124" i="6"/>
  <c r="I118" i="6"/>
  <c r="M111" i="6"/>
  <c r="J104" i="6"/>
  <c r="M99" i="6"/>
  <c r="N87" i="6"/>
  <c r="M126" i="6"/>
  <c r="I117" i="6"/>
  <c r="N113" i="6"/>
  <c r="M110" i="6"/>
  <c r="N94" i="6"/>
  <c r="L77" i="6"/>
  <c r="M65" i="6"/>
  <c r="L130" i="6"/>
  <c r="J103" i="6"/>
  <c r="N96" i="6"/>
  <c r="I84" i="6"/>
  <c r="N80" i="6"/>
  <c r="L74" i="6"/>
  <c r="N55" i="6"/>
  <c r="I36" i="6"/>
  <c r="K60" i="6"/>
  <c r="J57" i="6"/>
  <c r="K44" i="6"/>
  <c r="J41" i="6"/>
  <c r="N34" i="6"/>
  <c r="J48" i="6"/>
  <c r="K35" i="6"/>
  <c r="L28" i="6"/>
  <c r="I24" i="6"/>
  <c r="N6" i="6"/>
  <c r="L56" i="6"/>
  <c r="L52" i="6"/>
  <c r="I29" i="6"/>
  <c r="I153" i="6"/>
  <c r="M92" i="6"/>
  <c r="L294" i="6"/>
  <c r="N448" i="6"/>
  <c r="N440" i="6"/>
  <c r="N432" i="6"/>
  <c r="N424" i="6"/>
  <c r="N408" i="6"/>
  <c r="N400" i="6"/>
  <c r="I387" i="6"/>
  <c r="M380" i="6"/>
  <c r="I371" i="6"/>
  <c r="M364" i="6"/>
  <c r="I336" i="6"/>
  <c r="I320" i="6"/>
  <c r="I304" i="6"/>
  <c r="M422" i="6"/>
  <c r="M420" i="6"/>
  <c r="M418" i="6"/>
  <c r="M416" i="6"/>
  <c r="M414" i="6"/>
  <c r="M412" i="6"/>
  <c r="M410" i="6"/>
  <c r="M408" i="6"/>
  <c r="M406" i="6"/>
  <c r="M404" i="6"/>
  <c r="M402" i="6"/>
  <c r="M400" i="6"/>
  <c r="M398" i="6"/>
  <c r="K396" i="6"/>
  <c r="J393" i="6"/>
  <c r="I390" i="6"/>
  <c r="M383" i="6"/>
  <c r="K380" i="6"/>
  <c r="J377" i="6"/>
  <c r="I374" i="6"/>
  <c r="M367" i="6"/>
  <c r="K364" i="6"/>
  <c r="J361" i="6"/>
  <c r="I358" i="6"/>
  <c r="I354" i="6"/>
  <c r="I350" i="6"/>
  <c r="L449" i="6"/>
  <c r="L445" i="6"/>
  <c r="L441" i="6"/>
  <c r="L437" i="6"/>
  <c r="L433" i="6"/>
  <c r="L429" i="6"/>
  <c r="L425" i="6"/>
  <c r="L421" i="6"/>
  <c r="L417" i="6"/>
  <c r="L413" i="6"/>
  <c r="L409" i="6"/>
  <c r="L405" i="6"/>
  <c r="L401" i="6"/>
  <c r="L397" i="6"/>
  <c r="N393" i="6"/>
  <c r="M390" i="6"/>
  <c r="K387" i="6"/>
  <c r="N377" i="6"/>
  <c r="M374" i="6"/>
  <c r="K371" i="6"/>
  <c r="N361" i="6"/>
  <c r="M358" i="6"/>
  <c r="N354" i="6"/>
  <c r="N350" i="6"/>
  <c r="I342" i="6"/>
  <c r="I334" i="6"/>
  <c r="I326" i="6"/>
  <c r="I318" i="6"/>
  <c r="I310" i="6"/>
  <c r="I302" i="6"/>
  <c r="L396" i="6"/>
  <c r="N416" i="6"/>
  <c r="I396" i="6"/>
  <c r="K412" i="6"/>
  <c r="K426" i="6"/>
  <c r="K434" i="6"/>
  <c r="K442" i="6"/>
  <c r="K450" i="6"/>
  <c r="M454" i="6"/>
  <c r="M458" i="6"/>
  <c r="M462" i="6"/>
  <c r="M466" i="6"/>
  <c r="M470" i="6"/>
  <c r="M474" i="6"/>
  <c r="M478" i="6"/>
  <c r="M482" i="6"/>
  <c r="J484" i="6"/>
  <c r="J482" i="6"/>
  <c r="J480" i="6"/>
  <c r="J478" i="6"/>
  <c r="J476" i="6"/>
  <c r="J474" i="6"/>
  <c r="J472" i="6"/>
  <c r="J470" i="6"/>
  <c r="J468" i="6"/>
  <c r="J466" i="6"/>
  <c r="J464" i="6"/>
  <c r="J462" i="6"/>
  <c r="J460" i="6"/>
  <c r="J458" i="6"/>
  <c r="J456" i="6"/>
  <c r="J454" i="6"/>
  <c r="J452" i="6"/>
  <c r="J450" i="6"/>
  <c r="J448" i="6"/>
  <c r="J446" i="6"/>
  <c r="J444" i="6"/>
  <c r="J442" i="6"/>
  <c r="J440" i="6"/>
  <c r="J438" i="6"/>
  <c r="J436" i="6"/>
  <c r="J434" i="6"/>
  <c r="J432" i="6"/>
  <c r="J430" i="6"/>
  <c r="J428" i="6"/>
  <c r="J426" i="6"/>
  <c r="J424" i="6"/>
  <c r="J422" i="6"/>
  <c r="J420" i="6"/>
  <c r="J418" i="6"/>
  <c r="J416" i="6"/>
  <c r="J414" i="6"/>
  <c r="J412" i="6"/>
  <c r="J410" i="6"/>
  <c r="J408" i="6"/>
  <c r="J406" i="6"/>
  <c r="J404" i="6"/>
  <c r="J402" i="6"/>
  <c r="J400" i="6"/>
  <c r="J398" i="6"/>
  <c r="N395" i="6"/>
  <c r="M392" i="6"/>
  <c r="J386" i="6"/>
  <c r="I383" i="6"/>
  <c r="N379" i="6"/>
  <c r="M376" i="6"/>
  <c r="J370" i="6"/>
  <c r="K436" i="6"/>
  <c r="K444" i="6"/>
  <c r="N483" i="6"/>
  <c r="N481" i="6"/>
  <c r="N479" i="6"/>
  <c r="N477" i="6"/>
  <c r="N475" i="6"/>
  <c r="N473" i="6"/>
  <c r="N471" i="6"/>
  <c r="N469" i="6"/>
  <c r="N467" i="6"/>
  <c r="N465" i="6"/>
  <c r="N463" i="6"/>
  <c r="N461" i="6"/>
  <c r="N459" i="6"/>
  <c r="N457" i="6"/>
  <c r="N455" i="6"/>
  <c r="N453" i="6"/>
  <c r="N451" i="6"/>
  <c r="K385" i="6"/>
  <c r="K369" i="6"/>
  <c r="J356" i="6"/>
  <c r="M423" i="6"/>
  <c r="M421" i="6"/>
  <c r="M419" i="6"/>
  <c r="M417" i="6"/>
  <c r="M415" i="6"/>
  <c r="M413" i="6"/>
  <c r="M411" i="6"/>
  <c r="M409" i="6"/>
  <c r="M407" i="6"/>
  <c r="M405" i="6"/>
  <c r="M403" i="6"/>
  <c r="M401" i="6"/>
  <c r="M399" i="6"/>
  <c r="M397" i="6"/>
  <c r="K428" i="6"/>
  <c r="K404" i="6"/>
  <c r="K420" i="6"/>
  <c r="K430" i="6"/>
  <c r="K438" i="6"/>
  <c r="K446" i="6"/>
  <c r="K452" i="6"/>
  <c r="K456" i="6"/>
  <c r="K460" i="6"/>
  <c r="K464" i="6"/>
  <c r="K468" i="6"/>
  <c r="K472" i="6"/>
  <c r="K476" i="6"/>
  <c r="K480" i="6"/>
  <c r="J483" i="6"/>
  <c r="J481" i="6"/>
  <c r="J479" i="6"/>
  <c r="J477" i="6"/>
  <c r="J475" i="6"/>
  <c r="J473" i="6"/>
  <c r="J471" i="6"/>
  <c r="J469" i="6"/>
  <c r="J467" i="6"/>
  <c r="J465" i="6"/>
  <c r="J463" i="6"/>
  <c r="J461" i="6"/>
  <c r="J459" i="6"/>
  <c r="J457" i="6"/>
  <c r="J455" i="6"/>
  <c r="J453" i="6"/>
  <c r="J451" i="6"/>
  <c r="J449" i="6"/>
  <c r="J447" i="6"/>
  <c r="J445" i="6"/>
  <c r="J443" i="6"/>
  <c r="J441" i="6"/>
  <c r="J439" i="6"/>
  <c r="J437" i="6"/>
  <c r="J435" i="6"/>
  <c r="J433" i="6"/>
  <c r="J431" i="6"/>
  <c r="J429" i="6"/>
  <c r="J427" i="6"/>
  <c r="J425" i="6"/>
  <c r="J423" i="6"/>
  <c r="J421" i="6"/>
  <c r="J419" i="6"/>
  <c r="J417" i="6"/>
  <c r="J415" i="6"/>
  <c r="J413" i="6"/>
  <c r="J411" i="6"/>
  <c r="J409" i="6"/>
  <c r="J407" i="6"/>
  <c r="J405" i="6"/>
  <c r="J403" i="6"/>
  <c r="J401" i="6"/>
  <c r="J399" i="6"/>
  <c r="J397" i="6"/>
  <c r="J394" i="6"/>
  <c r="I391" i="6"/>
  <c r="N387" i="6"/>
  <c r="M384" i="6"/>
  <c r="K381" i="6"/>
  <c r="J378" i="6"/>
  <c r="I375" i="6"/>
  <c r="N371" i="6"/>
  <c r="M368" i="6"/>
  <c r="K365" i="6"/>
  <c r="J362" i="6"/>
  <c r="I359" i="6"/>
  <c r="L392" i="6"/>
  <c r="L388" i="6"/>
  <c r="L384" i="6"/>
  <c r="L380" i="6"/>
  <c r="L376" i="6"/>
  <c r="L372" i="6"/>
  <c r="L368" i="6"/>
  <c r="L364" i="6"/>
  <c r="L360" i="6"/>
  <c r="L356" i="6"/>
  <c r="L352" i="6"/>
  <c r="L348" i="6"/>
  <c r="L344" i="6"/>
  <c r="L340" i="6"/>
  <c r="L336" i="6"/>
  <c r="L332" i="6"/>
  <c r="L328" i="6"/>
  <c r="L324" i="6"/>
  <c r="L320" i="6"/>
  <c r="L316" i="6"/>
  <c r="L312" i="6"/>
  <c r="L308" i="6"/>
  <c r="L304" i="6"/>
  <c r="L300" i="6"/>
  <c r="M292" i="6"/>
  <c r="M288" i="6"/>
  <c r="M272" i="6"/>
  <c r="M256" i="6"/>
  <c r="K247" i="6"/>
  <c r="K355" i="6"/>
  <c r="K351" i="6"/>
  <c r="K347" i="6"/>
  <c r="K331" i="6"/>
  <c r="K315" i="6"/>
  <c r="K299" i="6"/>
  <c r="M295" i="6"/>
  <c r="M291" i="6"/>
  <c r="M287" i="6"/>
  <c r="M279" i="6"/>
  <c r="M275" i="6"/>
  <c r="M271" i="6"/>
  <c r="M263" i="6"/>
  <c r="M259" i="6"/>
  <c r="M255" i="6"/>
  <c r="K251" i="6"/>
  <c r="J247" i="6"/>
  <c r="M242" i="6"/>
  <c r="J349" i="6"/>
  <c r="J347" i="6"/>
  <c r="J345" i="6"/>
  <c r="J343" i="6"/>
  <c r="J341" i="6"/>
  <c r="J339" i="6"/>
  <c r="J337" i="6"/>
  <c r="J335" i="6"/>
  <c r="J333" i="6"/>
  <c r="J331" i="6"/>
  <c r="J329" i="6"/>
  <c r="J327" i="6"/>
  <c r="J325" i="6"/>
  <c r="J323" i="6"/>
  <c r="J321" i="6"/>
  <c r="J319" i="6"/>
  <c r="J317" i="6"/>
  <c r="J315" i="6"/>
  <c r="J313" i="6"/>
  <c r="J311" i="6"/>
  <c r="J309" i="6"/>
  <c r="J307" i="6"/>
  <c r="J305" i="6"/>
  <c r="J303" i="6"/>
  <c r="J301" i="6"/>
  <c r="J299" i="6"/>
  <c r="L295" i="6"/>
  <c r="L291" i="6"/>
  <c r="L287" i="6"/>
  <c r="L283" i="6"/>
  <c r="L279" i="6"/>
  <c r="L275" i="6"/>
  <c r="L271" i="6"/>
  <c r="L267" i="6"/>
  <c r="L263" i="6"/>
  <c r="L259" i="6"/>
  <c r="K255" i="6"/>
  <c r="J251" i="6"/>
  <c r="M246" i="6"/>
  <c r="K242" i="6"/>
  <c r="N232" i="6"/>
  <c r="J298" i="6"/>
  <c r="J296" i="6"/>
  <c r="J294" i="6"/>
  <c r="J292" i="6"/>
  <c r="J290" i="6"/>
  <c r="J288" i="6"/>
  <c r="J286" i="6"/>
  <c r="J284" i="6"/>
  <c r="J282" i="6"/>
  <c r="J280" i="6"/>
  <c r="J278" i="6"/>
  <c r="J276" i="6"/>
  <c r="J274" i="6"/>
  <c r="J272" i="6"/>
  <c r="J270" i="6"/>
  <c r="J268" i="6"/>
  <c r="J266" i="6"/>
  <c r="J264" i="6"/>
  <c r="J262" i="6"/>
  <c r="J260" i="6"/>
  <c r="J258" i="6"/>
  <c r="J256" i="6"/>
  <c r="K253" i="6"/>
  <c r="J250" i="6"/>
  <c r="I247" i="6"/>
  <c r="N243" i="6"/>
  <c r="M240" i="6"/>
  <c r="I231" i="6"/>
  <c r="M224" i="6"/>
  <c r="K221" i="6"/>
  <c r="J218" i="6"/>
  <c r="M208" i="6"/>
  <c r="K205" i="6"/>
  <c r="I194" i="6"/>
  <c r="K188" i="6"/>
  <c r="I173" i="6"/>
  <c r="I165" i="6"/>
  <c r="K240" i="6"/>
  <c r="J237" i="6"/>
  <c r="I234" i="6"/>
  <c r="N230" i="6"/>
  <c r="M227" i="6"/>
  <c r="K224" i="6"/>
  <c r="J221" i="6"/>
  <c r="I218" i="6"/>
  <c r="N214" i="6"/>
  <c r="M211" i="6"/>
  <c r="K208" i="6"/>
  <c r="J205" i="6"/>
  <c r="I202" i="6"/>
  <c r="I198" i="6"/>
  <c r="K192" i="6"/>
  <c r="N237" i="6"/>
  <c r="M234" i="6"/>
  <c r="K231" i="6"/>
  <c r="J228" i="6"/>
  <c r="N221" i="6"/>
  <c r="M218" i="6"/>
  <c r="K215" i="6"/>
  <c r="J212" i="6"/>
  <c r="N205" i="6"/>
  <c r="M202" i="6"/>
  <c r="M188" i="6"/>
  <c r="L255" i="6"/>
  <c r="L251" i="6"/>
  <c r="L247" i="6"/>
  <c r="L243" i="6"/>
  <c r="L239" i="6"/>
  <c r="L235" i="6"/>
  <c r="L231" i="6"/>
  <c r="L227" i="6"/>
  <c r="L219" i="6"/>
  <c r="L215" i="6"/>
  <c r="L211" i="6"/>
  <c r="L207" i="6"/>
  <c r="L203" i="6"/>
  <c r="K199" i="6"/>
  <c r="K195" i="6"/>
  <c r="K191" i="6"/>
  <c r="K187" i="6"/>
  <c r="K183" i="6"/>
  <c r="K179" i="6"/>
  <c r="K175" i="6"/>
  <c r="K171" i="6"/>
  <c r="K167" i="6"/>
  <c r="K163" i="6"/>
  <c r="K159" i="6"/>
  <c r="K155" i="6"/>
  <c r="K147" i="6"/>
  <c r="I142" i="6"/>
  <c r="I179" i="6"/>
  <c r="I175" i="6"/>
  <c r="I171" i="6"/>
  <c r="I167" i="6"/>
  <c r="I163" i="6"/>
  <c r="I159" i="6"/>
  <c r="I155" i="6"/>
  <c r="I151" i="6"/>
  <c r="I147" i="6"/>
  <c r="N128" i="6"/>
  <c r="M159" i="6"/>
  <c r="M155" i="6"/>
  <c r="M151" i="6"/>
  <c r="M147" i="6"/>
  <c r="K136" i="6"/>
  <c r="J198" i="6"/>
  <c r="J196" i="6"/>
  <c r="J194" i="6"/>
  <c r="J192" i="6"/>
  <c r="J190" i="6"/>
  <c r="J188" i="6"/>
  <c r="J186" i="6"/>
  <c r="J184" i="6"/>
  <c r="J182" i="6"/>
  <c r="J180" i="6"/>
  <c r="J178" i="6"/>
  <c r="J174" i="6"/>
  <c r="J172" i="6"/>
  <c r="J170" i="6"/>
  <c r="J166" i="6"/>
  <c r="J164" i="6"/>
  <c r="J162" i="6"/>
  <c r="J158" i="6"/>
  <c r="J156" i="6"/>
  <c r="J154" i="6"/>
  <c r="J150" i="6"/>
  <c r="J146" i="6"/>
  <c r="J138" i="6"/>
  <c r="I135" i="6"/>
  <c r="N131" i="6"/>
  <c r="M128" i="6"/>
  <c r="I119" i="6"/>
  <c r="N115" i="6"/>
  <c r="M112" i="6"/>
  <c r="K109" i="6"/>
  <c r="J121" i="6"/>
  <c r="N114" i="6"/>
  <c r="K108" i="6"/>
  <c r="L95" i="6"/>
  <c r="I91" i="6"/>
  <c r="J82" i="6"/>
  <c r="M142" i="6"/>
  <c r="K139" i="6"/>
  <c r="J136" i="6"/>
  <c r="I133" i="6"/>
  <c r="N129" i="6"/>
  <c r="K123" i="6"/>
  <c r="J120" i="6"/>
  <c r="K107" i="6"/>
  <c r="J102" i="6"/>
  <c r="I98" i="6"/>
  <c r="M90" i="6"/>
  <c r="I85" i="6"/>
  <c r="N81" i="6"/>
  <c r="L142" i="6"/>
  <c r="L138" i="6"/>
  <c r="L134" i="6"/>
  <c r="L126" i="6"/>
  <c r="L122" i="6"/>
  <c r="L118" i="6"/>
  <c r="L114" i="6"/>
  <c r="L110" i="6"/>
  <c r="L106" i="6"/>
  <c r="I100" i="6"/>
  <c r="M93" i="6"/>
  <c r="L90" i="6"/>
  <c r="J87" i="6"/>
  <c r="M77" i="6"/>
  <c r="J71" i="6"/>
  <c r="I68" i="6"/>
  <c r="I59" i="6"/>
  <c r="K55" i="6"/>
  <c r="J50" i="6"/>
  <c r="I43" i="6"/>
  <c r="M32" i="6"/>
  <c r="J77" i="6"/>
  <c r="I74" i="6"/>
  <c r="N70" i="6"/>
  <c r="M67" i="6"/>
  <c r="N63" i="6"/>
  <c r="K59" i="6"/>
  <c r="J55" i="6"/>
  <c r="J47" i="6"/>
  <c r="N36" i="6"/>
  <c r="K106" i="6"/>
  <c r="K102" i="6"/>
  <c r="K98" i="6"/>
  <c r="K94" i="6"/>
  <c r="K90" i="6"/>
  <c r="K86" i="6"/>
  <c r="K82" i="6"/>
  <c r="K78" i="6"/>
  <c r="K74" i="6"/>
  <c r="K70" i="6"/>
  <c r="N66" i="6"/>
  <c r="M63" i="6"/>
  <c r="I54" i="6"/>
  <c r="N50" i="6"/>
  <c r="M47" i="6"/>
  <c r="I12" i="6"/>
  <c r="K51" i="6"/>
  <c r="I45" i="6"/>
  <c r="N41" i="6"/>
  <c r="M38" i="6"/>
  <c r="J32" i="6"/>
  <c r="I10" i="6"/>
  <c r="L26" i="6"/>
  <c r="L22" i="6"/>
  <c r="I8" i="6"/>
  <c r="L64" i="6"/>
  <c r="L60" i="6"/>
  <c r="L48" i="6"/>
  <c r="L44" i="6"/>
  <c r="L40" i="6"/>
  <c r="L36" i="6"/>
  <c r="L32" i="6"/>
  <c r="M22" i="6"/>
  <c r="L19" i="6"/>
  <c r="M6" i="6"/>
  <c r="J22" i="6"/>
  <c r="I19" i="6"/>
  <c r="N15" i="6"/>
  <c r="M12" i="6"/>
  <c r="L9" i="6"/>
  <c r="J6" i="6"/>
  <c r="I3" i="6"/>
  <c r="K28" i="6"/>
  <c r="K24" i="6"/>
  <c r="K20" i="6"/>
  <c r="K16" i="6"/>
  <c r="K12" i="6"/>
  <c r="K8" i="6"/>
  <c r="K4" i="6"/>
  <c r="N499" i="6"/>
  <c r="M300" i="6"/>
  <c r="M332" i="6"/>
  <c r="I357" i="6"/>
  <c r="I368" i="6"/>
  <c r="K382" i="6"/>
  <c r="N396" i="6"/>
  <c r="K411" i="6"/>
  <c r="I367" i="6"/>
  <c r="N363" i="6"/>
  <c r="M360" i="6"/>
  <c r="I424" i="6"/>
  <c r="I422" i="6"/>
  <c r="I420" i="6"/>
  <c r="I418" i="6"/>
  <c r="I416" i="6"/>
  <c r="I414" i="6"/>
  <c r="I412" i="6"/>
  <c r="I410" i="6"/>
  <c r="I408" i="6"/>
  <c r="I406" i="6"/>
  <c r="I404" i="6"/>
  <c r="I402" i="6"/>
  <c r="I400" i="6"/>
  <c r="I398" i="6"/>
  <c r="M395" i="6"/>
  <c r="K392" i="6"/>
  <c r="J389" i="6"/>
  <c r="I386" i="6"/>
  <c r="N382" i="6"/>
  <c r="M379" i="6"/>
  <c r="K376" i="6"/>
  <c r="J373" i="6"/>
  <c r="I370" i="6"/>
  <c r="N366" i="6"/>
  <c r="M363" i="6"/>
  <c r="K360" i="6"/>
  <c r="M357" i="6"/>
  <c r="M353" i="6"/>
  <c r="I349" i="6"/>
  <c r="I341" i="6"/>
  <c r="I333" i="6"/>
  <c r="I325" i="6"/>
  <c r="I317" i="6"/>
  <c r="I309" i="6"/>
  <c r="I301" i="6"/>
  <c r="I284" i="6"/>
  <c r="I268" i="6"/>
  <c r="L448" i="6"/>
  <c r="L444" i="6"/>
  <c r="L440" i="6"/>
  <c r="L436" i="6"/>
  <c r="L432" i="6"/>
  <c r="L428" i="6"/>
  <c r="L424" i="6"/>
  <c r="L420" i="6"/>
  <c r="L416" i="6"/>
  <c r="L412" i="6"/>
  <c r="L408" i="6"/>
  <c r="L404" i="6"/>
  <c r="L400" i="6"/>
  <c r="J396" i="6"/>
  <c r="I393" i="6"/>
  <c r="N389" i="6"/>
  <c r="M386" i="6"/>
  <c r="K383" i="6"/>
  <c r="J380" i="6"/>
  <c r="I377" i="6"/>
  <c r="N373" i="6"/>
  <c r="M370" i="6"/>
  <c r="K367" i="6"/>
  <c r="J364" i="6"/>
  <c r="I361" i="6"/>
  <c r="J357" i="6"/>
  <c r="J353" i="6"/>
  <c r="M347" i="6"/>
  <c r="M339" i="6"/>
  <c r="M331" i="6"/>
  <c r="M323" i="6"/>
  <c r="M315" i="6"/>
  <c r="M307" i="6"/>
  <c r="M299" i="6"/>
  <c r="L395" i="6"/>
  <c r="L391" i="6"/>
  <c r="L387" i="6"/>
  <c r="L383" i="6"/>
  <c r="L379" i="6"/>
  <c r="L375" i="6"/>
  <c r="L371" i="6"/>
  <c r="L367" i="6"/>
  <c r="L363" i="6"/>
  <c r="L359" i="6"/>
  <c r="L355" i="6"/>
  <c r="L351" i="6"/>
  <c r="L347" i="6"/>
  <c r="L343" i="6"/>
  <c r="L339" i="6"/>
  <c r="L335" i="6"/>
  <c r="L331" i="6"/>
  <c r="L327" i="6"/>
  <c r="L323" i="6"/>
  <c r="L319" i="6"/>
  <c r="L315" i="6"/>
  <c r="L311" i="6"/>
  <c r="L307" i="6"/>
  <c r="L303" i="6"/>
  <c r="L299" i="6"/>
  <c r="I295" i="6"/>
  <c r="I291" i="6"/>
  <c r="I287" i="6"/>
  <c r="I283" i="6"/>
  <c r="I279" i="6"/>
  <c r="I275" i="6"/>
  <c r="I271" i="6"/>
  <c r="I267" i="6"/>
  <c r="I263" i="6"/>
  <c r="I259" i="6"/>
  <c r="K250" i="6"/>
  <c r="I246" i="6"/>
  <c r="N242" i="6"/>
  <c r="I228" i="6"/>
  <c r="K354" i="6"/>
  <c r="K350" i="6"/>
  <c r="K346" i="6"/>
  <c r="K342" i="6"/>
  <c r="K338" i="6"/>
  <c r="K334" i="6"/>
  <c r="K330" i="6"/>
  <c r="K326" i="6"/>
  <c r="K322" i="6"/>
  <c r="K318" i="6"/>
  <c r="K314" i="6"/>
  <c r="K310" i="6"/>
  <c r="K306" i="6"/>
  <c r="K302" i="6"/>
  <c r="I298" i="6"/>
  <c r="I294" i="6"/>
  <c r="I290" i="6"/>
  <c r="I286" i="6"/>
  <c r="I282" i="6"/>
  <c r="I278" i="6"/>
  <c r="I274" i="6"/>
  <c r="I270" i="6"/>
  <c r="I266" i="6"/>
  <c r="I262" i="6"/>
  <c r="I258" i="6"/>
  <c r="K254" i="6"/>
  <c r="I250" i="6"/>
  <c r="N246" i="6"/>
  <c r="I240" i="6"/>
  <c r="J215" i="6"/>
  <c r="N204" i="6"/>
  <c r="N348" i="6"/>
  <c r="N346" i="6"/>
  <c r="N344" i="6"/>
  <c r="N342" i="6"/>
  <c r="N340" i="6"/>
  <c r="N338" i="6"/>
  <c r="N336" i="6"/>
  <c r="N334" i="6"/>
  <c r="N332" i="6"/>
  <c r="N330" i="6"/>
  <c r="N328" i="6"/>
  <c r="N326" i="6"/>
  <c r="N324" i="6"/>
  <c r="N322" i="6"/>
  <c r="N320" i="6"/>
  <c r="N318" i="6"/>
  <c r="N316" i="6"/>
  <c r="N314" i="6"/>
  <c r="N312" i="6"/>
  <c r="N310" i="6"/>
  <c r="N308" i="6"/>
  <c r="N306" i="6"/>
  <c r="N304" i="6"/>
  <c r="N302" i="6"/>
  <c r="N300" i="6"/>
  <c r="M298" i="6"/>
  <c r="M294" i="6"/>
  <c r="M290" i="6"/>
  <c r="M286" i="6"/>
  <c r="M282" i="6"/>
  <c r="M278" i="6"/>
  <c r="M274" i="6"/>
  <c r="M270" i="6"/>
  <c r="M266" i="6"/>
  <c r="M262" i="6"/>
  <c r="M258" i="6"/>
  <c r="I254" i="6"/>
  <c r="N250" i="6"/>
  <c r="J245" i="6"/>
  <c r="M241" i="6"/>
  <c r="J227" i="6"/>
  <c r="K202" i="6"/>
  <c r="N297" i="6"/>
  <c r="N295" i="6"/>
  <c r="N293" i="6"/>
  <c r="N291" i="6"/>
  <c r="N289" i="6"/>
  <c r="N287" i="6"/>
  <c r="N285" i="6"/>
  <c r="N283" i="6"/>
  <c r="N281" i="6"/>
  <c r="N279" i="6"/>
  <c r="N277" i="6"/>
  <c r="N275" i="6"/>
  <c r="N273" i="6"/>
  <c r="N271" i="6"/>
  <c r="N269" i="6"/>
  <c r="N267" i="6"/>
  <c r="N265" i="6"/>
  <c r="N263" i="6"/>
  <c r="N261" i="6"/>
  <c r="N259" i="6"/>
  <c r="N257" i="6"/>
  <c r="N255" i="6"/>
  <c r="M252" i="6"/>
  <c r="K249" i="6"/>
  <c r="J246" i="6"/>
  <c r="I243" i="6"/>
  <c r="N239" i="6"/>
  <c r="M236" i="6"/>
  <c r="K233" i="6"/>
  <c r="J230" i="6"/>
  <c r="I227" i="6"/>
  <c r="N223" i="6"/>
  <c r="M220" i="6"/>
  <c r="K217" i="6"/>
  <c r="J214" i="6"/>
  <c r="I211" i="6"/>
  <c r="N207" i="6"/>
  <c r="M204" i="6"/>
  <c r="K201" i="6"/>
  <c r="I197" i="6"/>
  <c r="L192" i="6"/>
  <c r="M186" i="6"/>
  <c r="K180" i="6"/>
  <c r="K172" i="6"/>
  <c r="K164" i="6"/>
  <c r="K152" i="6"/>
  <c r="M239" i="6"/>
  <c r="K236" i="6"/>
  <c r="J233" i="6"/>
  <c r="I230" i="6"/>
  <c r="N226" i="6"/>
  <c r="M223" i="6"/>
  <c r="K220" i="6"/>
  <c r="J217" i="6"/>
  <c r="I214" i="6"/>
  <c r="N210" i="6"/>
  <c r="M207" i="6"/>
  <c r="K204" i="6"/>
  <c r="J201" i="6"/>
  <c r="L196" i="6"/>
  <c r="M190" i="6"/>
  <c r="I185" i="6"/>
  <c r="K177" i="6"/>
  <c r="K169" i="6"/>
  <c r="K161" i="6"/>
  <c r="K148" i="6"/>
  <c r="J93" i="6"/>
  <c r="J240" i="6"/>
  <c r="I237" i="6"/>
  <c r="N233" i="6"/>
  <c r="M230" i="6"/>
  <c r="K227" i="6"/>
  <c r="J224" i="6"/>
  <c r="I221" i="6"/>
  <c r="N217" i="6"/>
  <c r="M214" i="6"/>
  <c r="K211" i="6"/>
  <c r="J208" i="6"/>
  <c r="I205" i="6"/>
  <c r="N201" i="6"/>
  <c r="L197" i="6"/>
  <c r="M191" i="6"/>
  <c r="L187" i="6"/>
  <c r="M182" i="6"/>
  <c r="M174" i="6"/>
  <c r="M166" i="6"/>
  <c r="N132" i="6"/>
  <c r="L81" i="6"/>
  <c r="L254" i="6"/>
  <c r="L250" i="6"/>
  <c r="L246" i="6"/>
  <c r="L242" i="6"/>
  <c r="L238" i="6"/>
  <c r="L234" i="6"/>
  <c r="L230" i="6"/>
  <c r="L226" i="6"/>
  <c r="L222" i="6"/>
  <c r="L218" i="6"/>
  <c r="L214" i="6"/>
  <c r="L210" i="6"/>
  <c r="L206" i="6"/>
  <c r="L202" i="6"/>
  <c r="L198" i="6"/>
  <c r="L194" i="6"/>
  <c r="L190" i="6"/>
  <c r="L186" i="6"/>
  <c r="L182" i="6"/>
  <c r="L178" i="6"/>
  <c r="L174" i="6"/>
  <c r="L170" i="6"/>
  <c r="L166" i="6"/>
  <c r="L162" i="6"/>
  <c r="L158" i="6"/>
  <c r="L154" i="6"/>
  <c r="L150" i="6"/>
  <c r="L146" i="6"/>
  <c r="J141" i="6"/>
  <c r="I134" i="6"/>
  <c r="N130" i="6"/>
  <c r="M117" i="6"/>
  <c r="M104" i="6"/>
  <c r="N85" i="6"/>
  <c r="K182" i="6"/>
  <c r="K178" i="6"/>
  <c r="K174" i="6"/>
  <c r="K170" i="6"/>
  <c r="K166" i="6"/>
  <c r="K162" i="6"/>
  <c r="K158" i="6"/>
  <c r="K154" i="6"/>
  <c r="K150" i="6"/>
  <c r="K146" i="6"/>
  <c r="K138" i="6"/>
  <c r="J131" i="6"/>
  <c r="I124" i="6"/>
  <c r="M113" i="6"/>
  <c r="I99" i="6"/>
  <c r="J80" i="6"/>
  <c r="I158" i="6"/>
  <c r="I154" i="6"/>
  <c r="I150" i="6"/>
  <c r="I146" i="6"/>
  <c r="N142" i="6"/>
  <c r="M135" i="6"/>
  <c r="K128" i="6"/>
  <c r="K118" i="6"/>
  <c r="L103" i="6"/>
  <c r="I89" i="6"/>
  <c r="N199" i="6"/>
  <c r="N197" i="6"/>
  <c r="N195" i="6"/>
  <c r="N193" i="6"/>
  <c r="N191" i="6"/>
  <c r="N189" i="6"/>
  <c r="N187" i="6"/>
  <c r="N394" i="6"/>
  <c r="M391" i="6"/>
  <c r="K388" i="6"/>
  <c r="J385" i="6"/>
  <c r="I382" i="6"/>
  <c r="N378" i="6"/>
  <c r="M375" i="6"/>
  <c r="K372" i="6"/>
  <c r="J369" i="6"/>
  <c r="I366" i="6"/>
  <c r="N362" i="6"/>
  <c r="M359" i="6"/>
  <c r="I356" i="6"/>
  <c r="I352" i="6"/>
  <c r="L447" i="6"/>
  <c r="L443" i="6"/>
  <c r="L439" i="6"/>
  <c r="L435" i="6"/>
  <c r="L431" i="6"/>
  <c r="L427" i="6"/>
  <c r="L423" i="6"/>
  <c r="L419" i="6"/>
  <c r="L415" i="6"/>
  <c r="L411" i="6"/>
  <c r="L407" i="6"/>
  <c r="L403" i="6"/>
  <c r="L399" i="6"/>
  <c r="K395" i="6"/>
  <c r="J392" i="6"/>
  <c r="I389" i="6"/>
  <c r="N385" i="6"/>
  <c r="M382" i="6"/>
  <c r="K379" i="6"/>
  <c r="J376" i="6"/>
  <c r="I373" i="6"/>
  <c r="N369" i="6"/>
  <c r="M366" i="6"/>
  <c r="K363" i="6"/>
  <c r="J360" i="6"/>
  <c r="N356" i="6"/>
  <c r="N352" i="6"/>
  <c r="I346" i="6"/>
  <c r="I338" i="6"/>
  <c r="I330" i="6"/>
  <c r="I322" i="6"/>
  <c r="I314" i="6"/>
  <c r="I306" i="6"/>
  <c r="I296" i="6"/>
  <c r="I280" i="6"/>
  <c r="I264" i="6"/>
  <c r="L394" i="6"/>
  <c r="L390" i="6"/>
  <c r="L386" i="6"/>
  <c r="L382" i="6"/>
  <c r="L378" i="6"/>
  <c r="L374" i="6"/>
  <c r="L370" i="6"/>
  <c r="L366" i="6"/>
  <c r="L362" i="6"/>
  <c r="L358" i="6"/>
  <c r="L354" i="6"/>
  <c r="L350" i="6"/>
  <c r="L346" i="6"/>
  <c r="L342" i="6"/>
  <c r="L338" i="6"/>
  <c r="L334" i="6"/>
  <c r="L330" i="6"/>
  <c r="L326" i="6"/>
  <c r="L322" i="6"/>
  <c r="L318" i="6"/>
  <c r="L314" i="6"/>
  <c r="L310" i="6"/>
  <c r="L306" i="6"/>
  <c r="L302" i="6"/>
  <c r="K298" i="6"/>
  <c r="K294" i="6"/>
  <c r="K286" i="6"/>
  <c r="K282" i="6"/>
  <c r="K278" i="6"/>
  <c r="K270" i="6"/>
  <c r="K266" i="6"/>
  <c r="K262" i="6"/>
  <c r="J253" i="6"/>
  <c r="I249" i="6"/>
  <c r="I212" i="6"/>
  <c r="K357" i="6"/>
  <c r="K353" i="6"/>
  <c r="K349" i="6"/>
  <c r="K345" i="6"/>
  <c r="K341" i="6"/>
  <c r="K337" i="6"/>
  <c r="K333" i="6"/>
  <c r="K329" i="6"/>
  <c r="K325" i="6"/>
  <c r="K321" i="6"/>
  <c r="K317" i="6"/>
  <c r="K313" i="6"/>
  <c r="K309" i="6"/>
  <c r="K305" i="6"/>
  <c r="K301" i="6"/>
  <c r="K297" i="6"/>
  <c r="K293" i="6"/>
  <c r="K289" i="6"/>
  <c r="K285" i="6"/>
  <c r="K281" i="6"/>
  <c r="K277" i="6"/>
  <c r="K273" i="6"/>
  <c r="K269" i="6"/>
  <c r="K265" i="6"/>
  <c r="K261" i="6"/>
  <c r="K257" i="6"/>
  <c r="I253" i="6"/>
  <c r="N249" i="6"/>
  <c r="M245" i="6"/>
  <c r="I224" i="6"/>
  <c r="J348" i="6"/>
  <c r="J346" i="6"/>
  <c r="J344" i="6"/>
  <c r="J342" i="6"/>
  <c r="J340" i="6"/>
  <c r="J338" i="6"/>
  <c r="J336" i="6"/>
  <c r="J334" i="6"/>
  <c r="J332" i="6"/>
  <c r="J330" i="6"/>
  <c r="J328" i="6"/>
  <c r="J326" i="6"/>
  <c r="J324" i="6"/>
  <c r="J322" i="6"/>
  <c r="J320" i="6"/>
  <c r="J318" i="6"/>
  <c r="J316" i="6"/>
  <c r="J314" i="6"/>
  <c r="J312" i="6"/>
  <c r="J310" i="6"/>
  <c r="J308" i="6"/>
  <c r="J306" i="6"/>
  <c r="J304" i="6"/>
  <c r="J302" i="6"/>
  <c r="J300" i="6"/>
  <c r="I297" i="6"/>
  <c r="I293" i="6"/>
  <c r="I289" i="6"/>
  <c r="I285" i="6"/>
  <c r="I281" i="6"/>
  <c r="I277" i="6"/>
  <c r="I273" i="6"/>
  <c r="I269" i="6"/>
  <c r="I265" i="6"/>
  <c r="I261" i="6"/>
  <c r="I257" i="6"/>
  <c r="N253" i="6"/>
  <c r="M249" i="6"/>
  <c r="I244" i="6"/>
  <c r="I236" i="6"/>
  <c r="M225" i="6"/>
  <c r="J211" i="6"/>
  <c r="N200" i="6"/>
  <c r="K181" i="6"/>
  <c r="J297" i="6"/>
  <c r="J295" i="6"/>
  <c r="J293" i="6"/>
  <c r="J291" i="6"/>
  <c r="J289" i="6"/>
  <c r="J287" i="6"/>
  <c r="J285" i="6"/>
  <c r="J283" i="6"/>
  <c r="J281" i="6"/>
  <c r="J279" i="6"/>
  <c r="J277" i="6"/>
  <c r="J275" i="6"/>
  <c r="J273" i="6"/>
  <c r="J271" i="6"/>
  <c r="J269" i="6"/>
  <c r="J267" i="6"/>
  <c r="J265" i="6"/>
  <c r="J263" i="6"/>
  <c r="J261" i="6"/>
  <c r="J259" i="6"/>
  <c r="J257" i="6"/>
  <c r="I255" i="6"/>
  <c r="N251" i="6"/>
  <c r="M248" i="6"/>
  <c r="K245" i="6"/>
  <c r="J242" i="6"/>
  <c r="I239" i="6"/>
  <c r="N235" i="6"/>
  <c r="M232" i="6"/>
  <c r="K229" i="6"/>
  <c r="J226" i="6"/>
  <c r="I223" i="6"/>
  <c r="N219" i="6"/>
  <c r="M216" i="6"/>
  <c r="K213" i="6"/>
  <c r="J210" i="6"/>
  <c r="I207" i="6"/>
  <c r="N203" i="6"/>
  <c r="M200" i="6"/>
  <c r="I191" i="6"/>
  <c r="K185" i="6"/>
  <c r="L179" i="6"/>
  <c r="L171" i="6"/>
  <c r="L163" i="6"/>
  <c r="N238" i="6"/>
  <c r="M235" i="6"/>
  <c r="K232" i="6"/>
  <c r="J229" i="6"/>
  <c r="I226" i="6"/>
  <c r="N222" i="6"/>
  <c r="M219" i="6"/>
  <c r="K216" i="6"/>
  <c r="J213" i="6"/>
  <c r="I210" i="6"/>
  <c r="N206" i="6"/>
  <c r="M203" i="6"/>
  <c r="K200" i="6"/>
  <c r="I195" i="6"/>
  <c r="M184" i="6"/>
  <c r="L176" i="6"/>
  <c r="L168" i="6"/>
  <c r="L160" i="6"/>
  <c r="K239" i="6"/>
  <c r="J236" i="6"/>
  <c r="I233" i="6"/>
  <c r="N229" i="6"/>
  <c r="M226" i="6"/>
  <c r="K223" i="6"/>
  <c r="J220" i="6"/>
  <c r="I217" i="6"/>
  <c r="N213" i="6"/>
  <c r="M210" i="6"/>
  <c r="K207" i="6"/>
  <c r="J204" i="6"/>
  <c r="I201" i="6"/>
  <c r="K196" i="6"/>
  <c r="K190" i="6"/>
  <c r="I186" i="6"/>
  <c r="L151" i="6"/>
  <c r="L253" i="6"/>
  <c r="L249" i="6"/>
  <c r="L245" i="6"/>
  <c r="L241" i="6"/>
  <c r="L237" i="6"/>
  <c r="L233" i="6"/>
  <c r="L229" i="6"/>
  <c r="L225" i="6"/>
  <c r="L221" i="6"/>
  <c r="L217" i="6"/>
  <c r="L213" i="6"/>
  <c r="L209" i="6"/>
  <c r="L205" i="6"/>
  <c r="L201" i="6"/>
  <c r="M197" i="6"/>
  <c r="M193" i="6"/>
  <c r="M189" i="6"/>
  <c r="M185" i="6"/>
  <c r="M181" i="6"/>
  <c r="M177" i="6"/>
  <c r="M173" i="6"/>
  <c r="M169" i="6"/>
  <c r="M165" i="6"/>
  <c r="M161" i="6"/>
  <c r="M157" i="6"/>
  <c r="M153" i="6"/>
  <c r="M149" i="6"/>
  <c r="I145" i="6"/>
  <c r="K140" i="6"/>
  <c r="J133" i="6"/>
  <c r="K126" i="6"/>
  <c r="I112" i="6"/>
  <c r="I102" i="6"/>
  <c r="L181" i="6"/>
  <c r="L177" i="6"/>
  <c r="L173" i="6"/>
  <c r="L169" i="6"/>
  <c r="L165" i="6"/>
  <c r="L161" i="6"/>
  <c r="L157" i="6"/>
  <c r="L153" i="6"/>
  <c r="L149" i="6"/>
  <c r="K144" i="6"/>
  <c r="K130" i="6"/>
  <c r="K122" i="6"/>
  <c r="I108" i="6"/>
  <c r="M94" i="6"/>
  <c r="I77" i="6"/>
  <c r="M44" i="6"/>
  <c r="K157" i="6"/>
  <c r="K153" i="6"/>
  <c r="K149" i="6"/>
  <c r="M145" i="6"/>
  <c r="I138" i="6"/>
  <c r="N134" i="6"/>
  <c r="J127" i="6"/>
  <c r="N116" i="6"/>
  <c r="N98" i="6"/>
  <c r="L84" i="6"/>
  <c r="I65" i="6"/>
  <c r="J199" i="6"/>
  <c r="J197" i="6"/>
  <c r="J195" i="6"/>
  <c r="J193" i="6"/>
  <c r="J191" i="6"/>
  <c r="J189" i="6"/>
  <c r="J187" i="6"/>
  <c r="J185" i="6"/>
  <c r="J183" i="6"/>
  <c r="J181" i="6"/>
  <c r="J179" i="6"/>
  <c r="J177" i="6"/>
  <c r="J175" i="6"/>
  <c r="J173" i="6"/>
  <c r="J171" i="6"/>
  <c r="J169" i="6"/>
  <c r="J167" i="6"/>
  <c r="J165" i="6"/>
  <c r="J163" i="6"/>
  <c r="J161" i="6"/>
  <c r="J159" i="6"/>
  <c r="J157" i="6"/>
  <c r="J155" i="6"/>
  <c r="J153" i="6"/>
  <c r="N351" i="6"/>
  <c r="I423" i="6"/>
  <c r="I421" i="6"/>
  <c r="I419" i="6"/>
  <c r="I417" i="6"/>
  <c r="I415" i="6"/>
  <c r="I413" i="6"/>
  <c r="I411" i="6"/>
  <c r="I409" i="6"/>
  <c r="I407" i="6"/>
  <c r="I405" i="6"/>
  <c r="I403" i="6"/>
  <c r="I401" i="6"/>
  <c r="I399" i="6"/>
  <c r="I397" i="6"/>
  <c r="I394" i="6"/>
  <c r="N390" i="6"/>
  <c r="M387" i="6"/>
  <c r="K384" i="6"/>
  <c r="J381" i="6"/>
  <c r="I378" i="6"/>
  <c r="N374" i="6"/>
  <c r="M371" i="6"/>
  <c r="K368" i="6"/>
  <c r="J365" i="6"/>
  <c r="I362" i="6"/>
  <c r="N358" i="6"/>
  <c r="M355" i="6"/>
  <c r="M351" i="6"/>
  <c r="I345" i="6"/>
  <c r="I337" i="6"/>
  <c r="I329" i="6"/>
  <c r="I321" i="6"/>
  <c r="I313" i="6"/>
  <c r="I305" i="6"/>
  <c r="L450" i="6"/>
  <c r="L446" i="6"/>
  <c r="L442" i="6"/>
  <c r="L438" i="6"/>
  <c r="L434" i="6"/>
  <c r="L430" i="6"/>
  <c r="L426" i="6"/>
  <c r="L422" i="6"/>
  <c r="L418" i="6"/>
  <c r="L414" i="6"/>
  <c r="L410" i="6"/>
  <c r="L406" i="6"/>
  <c r="L402" i="6"/>
  <c r="L398" i="6"/>
  <c r="M394" i="6"/>
  <c r="K391" i="6"/>
  <c r="J388" i="6"/>
  <c r="I385" i="6"/>
  <c r="N381" i="6"/>
  <c r="M378" i="6"/>
  <c r="K375" i="6"/>
  <c r="J372" i="6"/>
  <c r="I369" i="6"/>
  <c r="N365" i="6"/>
  <c r="M362" i="6"/>
  <c r="K359" i="6"/>
  <c r="J355" i="6"/>
  <c r="J351" i="6"/>
  <c r="M343" i="6"/>
  <c r="M335" i="6"/>
  <c r="M327" i="6"/>
  <c r="M319" i="6"/>
  <c r="M311" i="6"/>
  <c r="M303" i="6"/>
  <c r="K243" i="6"/>
  <c r="L393" i="6"/>
  <c r="L389" i="6"/>
  <c r="L385" i="6"/>
  <c r="L381" i="6"/>
  <c r="L377" i="6"/>
  <c r="L373" i="6"/>
  <c r="L369" i="6"/>
  <c r="L365" i="6"/>
  <c r="L361" i="6"/>
  <c r="L357" i="6"/>
  <c r="L353" i="6"/>
  <c r="L349" i="6"/>
  <c r="L345" i="6"/>
  <c r="L341" i="6"/>
  <c r="L337" i="6"/>
  <c r="L333" i="6"/>
  <c r="L329" i="6"/>
  <c r="L325" i="6"/>
  <c r="L321" i="6"/>
  <c r="L317" i="6"/>
  <c r="L313" i="6"/>
  <c r="L309" i="6"/>
  <c r="L305" i="6"/>
  <c r="L301" i="6"/>
  <c r="L293" i="6"/>
  <c r="L289" i="6"/>
  <c r="L285" i="6"/>
  <c r="L277" i="6"/>
  <c r="L273" i="6"/>
  <c r="L269" i="6"/>
  <c r="L261" i="6"/>
  <c r="L257" i="6"/>
  <c r="N248" i="6"/>
  <c r="K244" i="6"/>
  <c r="K356" i="6"/>
  <c r="K352" i="6"/>
  <c r="K348" i="6"/>
  <c r="K344" i="6"/>
  <c r="K340" i="6"/>
  <c r="K336" i="6"/>
  <c r="K332" i="6"/>
  <c r="K328" i="6"/>
  <c r="K324" i="6"/>
  <c r="K320" i="6"/>
  <c r="K316" i="6"/>
  <c r="K312" i="6"/>
  <c r="K308" i="6"/>
  <c r="K304" i="6"/>
  <c r="K300" i="6"/>
  <c r="L296" i="6"/>
  <c r="L292" i="6"/>
  <c r="L288" i="6"/>
  <c r="L284" i="6"/>
  <c r="L280" i="6"/>
  <c r="L276" i="6"/>
  <c r="L272" i="6"/>
  <c r="L268" i="6"/>
  <c r="L264" i="6"/>
  <c r="L260" i="6"/>
  <c r="L256" i="6"/>
  <c r="N252" i="6"/>
  <c r="K248" i="6"/>
  <c r="J244" i="6"/>
  <c r="I208" i="6"/>
  <c r="N349" i="6"/>
  <c r="N347" i="6"/>
  <c r="N345" i="6"/>
  <c r="N343" i="6"/>
  <c r="N341" i="6"/>
  <c r="N339" i="6"/>
  <c r="N337" i="6"/>
  <c r="N335" i="6"/>
  <c r="N333" i="6"/>
  <c r="N331" i="6"/>
  <c r="N329" i="6"/>
  <c r="N327" i="6"/>
  <c r="N325" i="6"/>
  <c r="N323" i="6"/>
  <c r="N321" i="6"/>
  <c r="N319" i="6"/>
  <c r="N317" i="6"/>
  <c r="N315" i="6"/>
  <c r="N313" i="6"/>
  <c r="N311" i="6"/>
  <c r="N309" i="6"/>
  <c r="N307" i="6"/>
  <c r="N305" i="6"/>
  <c r="N303" i="6"/>
  <c r="N301" i="6"/>
  <c r="N299" i="6"/>
  <c r="K296" i="6"/>
  <c r="K292" i="6"/>
  <c r="K288" i="6"/>
  <c r="K284" i="6"/>
  <c r="K280" i="6"/>
  <c r="K276" i="6"/>
  <c r="K272" i="6"/>
  <c r="K268" i="6"/>
  <c r="K264" i="6"/>
  <c r="K260" i="6"/>
  <c r="K256" i="6"/>
  <c r="K252" i="6"/>
  <c r="J248" i="6"/>
  <c r="M243" i="6"/>
  <c r="K234" i="6"/>
  <c r="I220" i="6"/>
  <c r="M209" i="6"/>
  <c r="M198" i="6"/>
  <c r="N298" i="6"/>
  <c r="N296" i="6"/>
  <c r="N294" i="6"/>
  <c r="N292" i="6"/>
  <c r="N290" i="6"/>
  <c r="N288" i="6"/>
  <c r="N286" i="6"/>
  <c r="N284" i="6"/>
  <c r="N282" i="6"/>
  <c r="N280" i="6"/>
  <c r="N278" i="6"/>
  <c r="N276" i="6"/>
  <c r="N274" i="6"/>
  <c r="N272" i="6"/>
  <c r="N270" i="6"/>
  <c r="N268" i="6"/>
  <c r="N266" i="6"/>
  <c r="N264" i="6"/>
  <c r="N262" i="6"/>
  <c r="N260" i="6"/>
  <c r="N258" i="6"/>
  <c r="N256" i="6"/>
  <c r="J254" i="6"/>
  <c r="I251" i="6"/>
  <c r="N247" i="6"/>
  <c r="M244" i="6"/>
  <c r="K241" i="6"/>
  <c r="J238" i="6"/>
  <c r="I235" i="6"/>
  <c r="N231" i="6"/>
  <c r="M228" i="6"/>
  <c r="K225" i="6"/>
  <c r="J222" i="6"/>
  <c r="I219" i="6"/>
  <c r="N215" i="6"/>
  <c r="M212" i="6"/>
  <c r="K209" i="6"/>
  <c r="J206" i="6"/>
  <c r="I203" i="6"/>
  <c r="M199" i="6"/>
  <c r="L195" i="6"/>
  <c r="L189" i="6"/>
  <c r="M183" i="6"/>
  <c r="M178" i="6"/>
  <c r="M170" i="6"/>
  <c r="M162" i="6"/>
  <c r="M141" i="6"/>
  <c r="J241" i="6"/>
  <c r="I238" i="6"/>
  <c r="N234" i="6"/>
  <c r="M231" i="6"/>
  <c r="K228" i="6"/>
  <c r="J225" i="6"/>
  <c r="I222" i="6"/>
  <c r="N218" i="6"/>
  <c r="M215" i="6"/>
  <c r="K212" i="6"/>
  <c r="J209" i="6"/>
  <c r="I206" i="6"/>
  <c r="N202" i="6"/>
  <c r="L199" i="6"/>
  <c r="L193" i="6"/>
  <c r="M187" i="6"/>
  <c r="L183" i="6"/>
  <c r="M175" i="6"/>
  <c r="M167" i="6"/>
  <c r="N241" i="6"/>
  <c r="M238" i="6"/>
  <c r="K235" i="6"/>
  <c r="J232" i="6"/>
  <c r="I229" i="6"/>
  <c r="N225" i="6"/>
  <c r="M222" i="6"/>
  <c r="K219" i="6"/>
  <c r="J216" i="6"/>
  <c r="I213" i="6"/>
  <c r="N209" i="6"/>
  <c r="M206" i="6"/>
  <c r="K203" i="6"/>
  <c r="J200" i="6"/>
  <c r="M194" i="6"/>
  <c r="I189" i="6"/>
  <c r="L184" i="6"/>
  <c r="K176" i="6"/>
  <c r="K168" i="6"/>
  <c r="K160" i="6"/>
  <c r="J143" i="6"/>
  <c r="L252" i="6"/>
  <c r="L248" i="6"/>
  <c r="L244" i="6"/>
  <c r="L240" i="6"/>
  <c r="L236" i="6"/>
  <c r="L232" i="6"/>
  <c r="L228" i="6"/>
  <c r="L224" i="6"/>
  <c r="L220" i="6"/>
  <c r="L216" i="6"/>
  <c r="L212" i="6"/>
  <c r="L208" i="6"/>
  <c r="L204" i="6"/>
  <c r="L200" i="6"/>
  <c r="I196" i="6"/>
  <c r="I192" i="6"/>
  <c r="I188" i="6"/>
  <c r="I184" i="6"/>
  <c r="I180" i="6"/>
  <c r="I176" i="6"/>
  <c r="I172" i="6"/>
  <c r="I168" i="6"/>
  <c r="I164" i="6"/>
  <c r="I160" i="6"/>
  <c r="I156" i="6"/>
  <c r="I152" i="6"/>
  <c r="I148" i="6"/>
  <c r="M144" i="6"/>
  <c r="M139" i="6"/>
  <c r="K132" i="6"/>
  <c r="N124" i="6"/>
  <c r="K110" i="6"/>
  <c r="M74" i="6"/>
  <c r="M180" i="6"/>
  <c r="M176" i="6"/>
  <c r="M172" i="6"/>
  <c r="M168" i="6"/>
  <c r="M164" i="6"/>
  <c r="M160" i="6"/>
  <c r="M156" i="6"/>
  <c r="M152" i="6"/>
  <c r="M148" i="6"/>
  <c r="I140" i="6"/>
  <c r="N136" i="6"/>
  <c r="M129" i="6"/>
  <c r="N120" i="6"/>
  <c r="J106" i="6"/>
  <c r="L87" i="6"/>
  <c r="N73" i="6"/>
  <c r="J29" i="6"/>
  <c r="L156" i="6"/>
  <c r="L152" i="6"/>
  <c r="M424" i="6"/>
  <c r="M428" i="6"/>
  <c r="M432" i="6"/>
  <c r="M436" i="6"/>
  <c r="M440" i="6"/>
  <c r="M444" i="6"/>
  <c r="M448" i="6"/>
  <c r="L452" i="6"/>
  <c r="L456" i="6"/>
  <c r="L460" i="6"/>
  <c r="N185" i="6"/>
  <c r="N183" i="6"/>
  <c r="N181" i="6"/>
  <c r="N179" i="6"/>
  <c r="N177" i="6"/>
  <c r="N175" i="6"/>
  <c r="N173" i="6"/>
  <c r="N171" i="6"/>
  <c r="N169" i="6"/>
  <c r="N167" i="6"/>
  <c r="N165" i="6"/>
  <c r="N163" i="6"/>
  <c r="N161" i="6"/>
  <c r="N159" i="6"/>
  <c r="N157" i="6"/>
  <c r="N155" i="6"/>
  <c r="N153" i="6"/>
  <c r="N151" i="6"/>
  <c r="N149" i="6"/>
  <c r="N147" i="6"/>
  <c r="N145" i="6"/>
  <c r="N143" i="6"/>
  <c r="M140" i="6"/>
  <c r="K137" i="6"/>
  <c r="J134" i="6"/>
  <c r="I131" i="6"/>
  <c r="N127" i="6"/>
  <c r="M124" i="6"/>
  <c r="K121" i="6"/>
  <c r="J118" i="6"/>
  <c r="I115" i="6"/>
  <c r="N111" i="6"/>
  <c r="M108" i="6"/>
  <c r="N105" i="6"/>
  <c r="L101" i="6"/>
  <c r="J97" i="6"/>
  <c r="L88" i="6"/>
  <c r="J84" i="6"/>
  <c r="M79" i="6"/>
  <c r="K61" i="6"/>
  <c r="N43" i="6"/>
  <c r="N126" i="6"/>
  <c r="M123" i="6"/>
  <c r="K120" i="6"/>
  <c r="J117" i="6"/>
  <c r="I114" i="6"/>
  <c r="N110" i="6"/>
  <c r="M107" i="6"/>
  <c r="N103" i="6"/>
  <c r="J98" i="6"/>
  <c r="I94" i="6"/>
  <c r="N90" i="6"/>
  <c r="M86" i="6"/>
  <c r="I81" i="6"/>
  <c r="N77" i="6"/>
  <c r="M70" i="6"/>
  <c r="J62" i="6"/>
  <c r="I39" i="6"/>
  <c r="L145" i="6"/>
  <c r="N141" i="6"/>
  <c r="M138" i="6"/>
  <c r="K135" i="6"/>
  <c r="J132" i="6"/>
  <c r="I129" i="6"/>
  <c r="N125" i="6"/>
  <c r="M122" i="6"/>
  <c r="K119" i="6"/>
  <c r="J116" i="6"/>
  <c r="I113" i="6"/>
  <c r="N109" i="6"/>
  <c r="M106" i="6"/>
  <c r="I101" i="6"/>
  <c r="N97" i="6"/>
  <c r="L93" i="6"/>
  <c r="J89" i="6"/>
  <c r="M84" i="6"/>
  <c r="L80" i="6"/>
  <c r="M76" i="6"/>
  <c r="L69" i="6"/>
  <c r="J64" i="6"/>
  <c r="I57" i="6"/>
  <c r="J38" i="6"/>
  <c r="L141" i="6"/>
  <c r="L137" i="6"/>
  <c r="L133" i="6"/>
  <c r="L129" i="6"/>
  <c r="L125" i="6"/>
  <c r="L121" i="6"/>
  <c r="L117" i="6"/>
  <c r="L113" i="6"/>
  <c r="L109" i="6"/>
  <c r="M105" i="6"/>
  <c r="L102" i="6"/>
  <c r="J99" i="6"/>
  <c r="I96" i="6"/>
  <c r="N92" i="6"/>
  <c r="M89" i="6"/>
  <c r="L86" i="6"/>
  <c r="J83" i="6"/>
  <c r="I80" i="6"/>
  <c r="N76" i="6"/>
  <c r="M73" i="6"/>
  <c r="L70" i="6"/>
  <c r="J67" i="6"/>
  <c r="J63" i="6"/>
  <c r="M58" i="6"/>
  <c r="K54" i="6"/>
  <c r="J151" i="6"/>
  <c r="J149" i="6"/>
  <c r="J147" i="6"/>
  <c r="J145" i="6"/>
  <c r="I143" i="6"/>
  <c r="N139" i="6"/>
  <c r="M136" i="6"/>
  <c r="K133" i="6"/>
  <c r="J130" i="6"/>
  <c r="I127" i="6"/>
  <c r="N123" i="6"/>
  <c r="M120" i="6"/>
  <c r="K117" i="6"/>
  <c r="J114" i="6"/>
  <c r="I111" i="6"/>
  <c r="N107" i="6"/>
  <c r="L104" i="6"/>
  <c r="J100" i="6"/>
  <c r="M95" i="6"/>
  <c r="L91" i="6"/>
  <c r="I87" i="6"/>
  <c r="N83" i="6"/>
  <c r="I75" i="6"/>
  <c r="N71" i="6"/>
  <c r="I60" i="6"/>
  <c r="M36" i="6"/>
  <c r="I126" i="6"/>
  <c r="N122" i="6"/>
  <c r="M119" i="6"/>
  <c r="K116" i="6"/>
  <c r="J113" i="6"/>
  <c r="I110" i="6"/>
  <c r="N106" i="6"/>
  <c r="M102" i="6"/>
  <c r="I97" i="6"/>
  <c r="N93" i="6"/>
  <c r="L89" i="6"/>
  <c r="J85" i="6"/>
  <c r="M80" i="6"/>
  <c r="I73" i="6"/>
  <c r="N69" i="6"/>
  <c r="M57" i="6"/>
  <c r="N35" i="6"/>
  <c r="L144" i="6"/>
  <c r="I141" i="6"/>
  <c r="N137" i="6"/>
  <c r="M134" i="6"/>
  <c r="K131" i="6"/>
  <c r="J128" i="6"/>
  <c r="I125" i="6"/>
  <c r="N121" i="6"/>
  <c r="M118" i="6"/>
  <c r="K115" i="6"/>
  <c r="J112" i="6"/>
  <c r="I109" i="6"/>
  <c r="J105" i="6"/>
  <c r="M100" i="6"/>
  <c r="L96" i="6"/>
  <c r="J92" i="6"/>
  <c r="M87" i="6"/>
  <c r="L83" i="6"/>
  <c r="I79" i="6"/>
  <c r="N75" i="6"/>
  <c r="M68" i="6"/>
  <c r="I63" i="6"/>
  <c r="I55" i="6"/>
  <c r="L140" i="6"/>
  <c r="L136" i="6"/>
  <c r="L132" i="6"/>
  <c r="L128" i="6"/>
  <c r="L124" i="6"/>
  <c r="L120" i="6"/>
  <c r="L116" i="6"/>
  <c r="L112" i="6"/>
  <c r="L108" i="6"/>
  <c r="N104" i="6"/>
  <c r="M101" i="6"/>
  <c r="L98" i="6"/>
  <c r="J95" i="6"/>
  <c r="I92" i="6"/>
  <c r="N88" i="6"/>
  <c r="M85" i="6"/>
  <c r="L82" i="6"/>
  <c r="J79" i="6"/>
  <c r="I76" i="6"/>
  <c r="N72" i="6"/>
  <c r="M69" i="6"/>
  <c r="J66" i="6"/>
  <c r="M61" i="6"/>
  <c r="K57" i="6"/>
  <c r="I52" i="6"/>
  <c r="N48" i="6"/>
  <c r="M41" i="6"/>
  <c r="K34" i="6"/>
  <c r="N28" i="6"/>
  <c r="I6" i="6"/>
  <c r="N53" i="6"/>
  <c r="M48" i="6"/>
  <c r="K41" i="6"/>
  <c r="J34" i="6"/>
  <c r="N78" i="6"/>
  <c r="M75" i="6"/>
  <c r="L72" i="6"/>
  <c r="J69" i="6"/>
  <c r="K65" i="6"/>
  <c r="I61" i="6"/>
  <c r="N57" i="6"/>
  <c r="N52" i="6"/>
  <c r="M45" i="6"/>
  <c r="K38" i="6"/>
  <c r="I31" i="6"/>
  <c r="K104" i="6"/>
  <c r="K100" i="6"/>
  <c r="K96" i="6"/>
  <c r="K92" i="6"/>
  <c r="K88" i="6"/>
  <c r="K84" i="6"/>
  <c r="K80" i="6"/>
  <c r="K76" i="6"/>
  <c r="K72" i="6"/>
  <c r="K68" i="6"/>
  <c r="J65" i="6"/>
  <c r="I62" i="6"/>
  <c r="N58" i="6"/>
  <c r="M55" i="6"/>
  <c r="K52" i="6"/>
  <c r="I46" i="6"/>
  <c r="M39" i="6"/>
  <c r="K36" i="6"/>
  <c r="M28" i="6"/>
  <c r="L24" i="6"/>
  <c r="M17" i="6"/>
  <c r="L10" i="6"/>
  <c r="I53" i="6"/>
  <c r="N49" i="6"/>
  <c r="M46" i="6"/>
  <c r="K43" i="6"/>
  <c r="J40" i="6"/>
  <c r="I37" i="6"/>
  <c r="N33" i="6"/>
  <c r="I30" i="6"/>
  <c r="N26" i="6"/>
  <c r="N22" i="6"/>
  <c r="M15" i="6"/>
  <c r="L8" i="6"/>
  <c r="I28" i="6"/>
  <c r="N24" i="6"/>
  <c r="N20" i="6"/>
  <c r="M13" i="6"/>
  <c r="L6" i="6"/>
  <c r="L66" i="6"/>
  <c r="L62" i="6"/>
  <c r="L58" i="6"/>
  <c r="L54" i="6"/>
  <c r="L50" i="6"/>
  <c r="L46" i="6"/>
  <c r="L42" i="6"/>
  <c r="L38" i="6"/>
  <c r="L34" i="6"/>
  <c r="M30" i="6"/>
  <c r="J24" i="6"/>
  <c r="I21" i="6"/>
  <c r="N17" i="6"/>
  <c r="M14" i="6"/>
  <c r="L11" i="6"/>
  <c r="J8" i="6"/>
  <c r="M20" i="6"/>
  <c r="L17" i="6"/>
  <c r="J14" i="6"/>
  <c r="I11" i="6"/>
  <c r="L148" i="6"/>
  <c r="I144" i="6"/>
  <c r="J137" i="6"/>
  <c r="I130" i="6"/>
  <c r="M125" i="6"/>
  <c r="J111" i="6"/>
  <c r="J96" i="6"/>
  <c r="M60" i="6"/>
  <c r="N198" i="6"/>
  <c r="N196" i="6"/>
  <c r="N194" i="6"/>
  <c r="N192" i="6"/>
  <c r="N190" i="6"/>
  <c r="N188" i="6"/>
  <c r="N186" i="6"/>
  <c r="N184" i="6"/>
  <c r="N182" i="6"/>
  <c r="N180" i="6"/>
  <c r="N178" i="6"/>
  <c r="N176" i="6"/>
  <c r="N174" i="6"/>
  <c r="N172" i="6"/>
  <c r="N170" i="6"/>
  <c r="N168" i="6"/>
  <c r="N166" i="6"/>
  <c r="N164" i="6"/>
  <c r="N162" i="6"/>
  <c r="N160" i="6"/>
  <c r="N158" i="6"/>
  <c r="N156" i="6"/>
  <c r="N154" i="6"/>
  <c r="N152" i="6"/>
  <c r="N150" i="6"/>
  <c r="N148" i="6"/>
  <c r="N146" i="6"/>
  <c r="N144" i="6"/>
  <c r="J142" i="6"/>
  <c r="I139" i="6"/>
  <c r="N135" i="6"/>
  <c r="M132" i="6"/>
  <c r="K129" i="6"/>
  <c r="J126" i="6"/>
  <c r="I123" i="6"/>
  <c r="N119" i="6"/>
  <c r="M116" i="6"/>
  <c r="K113" i="6"/>
  <c r="J110" i="6"/>
  <c r="I107" i="6"/>
  <c r="I103" i="6"/>
  <c r="N99" i="6"/>
  <c r="J94" i="6"/>
  <c r="I90" i="6"/>
  <c r="N86" i="6"/>
  <c r="M82" i="6"/>
  <c r="J74" i="6"/>
  <c r="I67" i="6"/>
  <c r="J56" i="6"/>
  <c r="J125" i="6"/>
  <c r="I122" i="6"/>
  <c r="N118" i="6"/>
  <c r="M115" i="6"/>
  <c r="K112" i="6"/>
  <c r="J109" i="6"/>
  <c r="L105" i="6"/>
  <c r="J101" i="6"/>
  <c r="M96" i="6"/>
  <c r="L92" i="6"/>
  <c r="J88" i="6"/>
  <c r="M83" i="6"/>
  <c r="L79" i="6"/>
  <c r="J72" i="6"/>
  <c r="N64" i="6"/>
  <c r="M24" i="6"/>
  <c r="K143" i="6"/>
  <c r="J140" i="6"/>
  <c r="I137" i="6"/>
  <c r="N133" i="6"/>
  <c r="M130" i="6"/>
  <c r="K127" i="6"/>
  <c r="J124" i="6"/>
  <c r="I121" i="6"/>
  <c r="N117" i="6"/>
  <c r="M114" i="6"/>
  <c r="K111" i="6"/>
  <c r="J108" i="6"/>
  <c r="M103" i="6"/>
  <c r="L99" i="6"/>
  <c r="I95" i="6"/>
  <c r="N91" i="6"/>
  <c r="J86" i="6"/>
  <c r="I82" i="6"/>
  <c r="J78" i="6"/>
  <c r="I71" i="6"/>
  <c r="N67" i="6"/>
  <c r="N59" i="6"/>
  <c r="M52" i="6"/>
  <c r="L143" i="6"/>
  <c r="L139" i="6"/>
  <c r="L135" i="6"/>
  <c r="L131" i="6"/>
  <c r="L127" i="6"/>
  <c r="L123" i="6"/>
  <c r="L119" i="6"/>
  <c r="L115" i="6"/>
  <c r="L111" i="6"/>
  <c r="L107" i="6"/>
  <c r="I104" i="6"/>
  <c r="N100" i="6"/>
  <c r="M97" i="6"/>
  <c r="L94" i="6"/>
  <c r="J91" i="6"/>
  <c r="I88" i="6"/>
  <c r="N84" i="6"/>
  <c r="M81" i="6"/>
  <c r="L78" i="6"/>
  <c r="J75" i="6"/>
  <c r="I72" i="6"/>
  <c r="N68" i="6"/>
  <c r="N65" i="6"/>
  <c r="J60" i="6"/>
  <c r="I56" i="6"/>
  <c r="J51" i="6"/>
  <c r="I44" i="6"/>
  <c r="N40" i="6"/>
  <c r="M33" i="6"/>
  <c r="J26" i="6"/>
  <c r="N56" i="6"/>
  <c r="I51" i="6"/>
  <c r="N47" i="6"/>
  <c r="M40" i="6"/>
  <c r="K33" i="6"/>
  <c r="M19" i="6"/>
  <c r="I78" i="6"/>
  <c r="N74" i="6"/>
  <c r="M71" i="6"/>
  <c r="L68" i="6"/>
  <c r="I64" i="6"/>
  <c r="L464" i="6"/>
  <c r="L468" i="6"/>
  <c r="L472" i="6"/>
  <c r="L476" i="6"/>
  <c r="L480" i="6"/>
  <c r="L484" i="6"/>
  <c r="L488" i="6"/>
  <c r="L492" i="6"/>
  <c r="L496" i="6"/>
  <c r="L500" i="6"/>
  <c r="N493" i="6"/>
  <c r="N497" i="6"/>
  <c r="J252" i="6"/>
  <c r="M281" i="6"/>
  <c r="M328" i="6"/>
  <c r="I355" i="6"/>
  <c r="K370" i="6"/>
  <c r="N384" i="6"/>
  <c r="J395" i="6"/>
  <c r="K410" i="6"/>
  <c r="K425" i="6"/>
  <c r="K433" i="6"/>
  <c r="K441" i="6"/>
  <c r="K449" i="6"/>
  <c r="K454" i="6"/>
  <c r="K458" i="6"/>
  <c r="K462" i="6"/>
  <c r="K466" i="6"/>
  <c r="K470" i="6"/>
  <c r="K474" i="6"/>
  <c r="K478" i="6"/>
  <c r="K482" i="6"/>
  <c r="M485" i="6"/>
  <c r="M487" i="6"/>
  <c r="M489" i="6"/>
  <c r="M491" i="6"/>
  <c r="M493" i="6"/>
  <c r="M495" i="6"/>
  <c r="M497" i="6"/>
  <c r="M499" i="6"/>
  <c r="M501" i="6"/>
  <c r="N254" i="6"/>
  <c r="M297" i="6"/>
  <c r="M324" i="6"/>
  <c r="I353" i="6"/>
  <c r="J367" i="6"/>
  <c r="M381" i="6"/>
  <c r="I392" i="6"/>
  <c r="K409" i="6"/>
  <c r="M425" i="6"/>
  <c r="M429" i="6"/>
  <c r="M433" i="6"/>
  <c r="M437" i="6"/>
  <c r="M441" i="6"/>
  <c r="M445" i="6"/>
  <c r="M449" i="6"/>
  <c r="M453" i="6"/>
  <c r="M457" i="6"/>
  <c r="M461" i="6"/>
  <c r="M465" i="6"/>
  <c r="M469" i="6"/>
  <c r="M473" i="6"/>
  <c r="M477" i="6"/>
  <c r="M481" i="6"/>
  <c r="N484" i="6"/>
  <c r="N486" i="6"/>
  <c r="N488" i="6"/>
  <c r="N491" i="6"/>
  <c r="J495" i="6"/>
  <c r="J500" i="6"/>
  <c r="M49" i="6"/>
  <c r="K42" i="6"/>
  <c r="J35" i="6"/>
  <c r="N30" i="6"/>
  <c r="J13" i="6"/>
  <c r="J54" i="6"/>
  <c r="K49" i="6"/>
  <c r="J42" i="6"/>
  <c r="I35" i="6"/>
  <c r="N31" i="6"/>
  <c r="J5" i="6"/>
  <c r="L76" i="6"/>
  <c r="J73" i="6"/>
  <c r="I70" i="6"/>
  <c r="M66" i="6"/>
  <c r="K62" i="6"/>
  <c r="J58" i="6"/>
  <c r="M53" i="6"/>
  <c r="K46" i="6"/>
  <c r="J39" i="6"/>
  <c r="I32" i="6"/>
  <c r="N18" i="6"/>
  <c r="K105" i="6"/>
  <c r="K101" i="6"/>
  <c r="K97" i="6"/>
  <c r="K93" i="6"/>
  <c r="K89" i="6"/>
  <c r="K85" i="6"/>
  <c r="K81" i="6"/>
  <c r="K77" i="6"/>
  <c r="K73" i="6"/>
  <c r="K69" i="6"/>
  <c r="I66" i="6"/>
  <c r="N62" i="6"/>
  <c r="M59" i="6"/>
  <c r="K56" i="6"/>
  <c r="J53" i="6"/>
  <c r="I50" i="6"/>
  <c r="N46" i="6"/>
  <c r="M43" i="6"/>
  <c r="K40" i="6"/>
  <c r="J37" i="6"/>
  <c r="I34" i="6"/>
  <c r="J30" i="6"/>
  <c r="M25" i="6"/>
  <c r="L18" i="6"/>
  <c r="J11" i="6"/>
  <c r="I4" i="6"/>
  <c r="M50" i="6"/>
  <c r="K47" i="6"/>
  <c r="J44" i="6"/>
  <c r="I41" i="6"/>
  <c r="N37" i="6"/>
  <c r="M34" i="6"/>
  <c r="J31" i="6"/>
  <c r="I27" i="6"/>
  <c r="M23" i="6"/>
  <c r="L16" i="6"/>
  <c r="J9" i="6"/>
  <c r="L29" i="6"/>
  <c r="J25" i="6"/>
  <c r="M21" i="6"/>
  <c r="L14" i="6"/>
  <c r="J7" i="6"/>
  <c r="M3" i="6"/>
  <c r="L63" i="6"/>
  <c r="L59" i="6"/>
  <c r="L55" i="6"/>
  <c r="L51" i="6"/>
  <c r="L47" i="6"/>
  <c r="L43" i="6"/>
  <c r="L39" i="6"/>
  <c r="L35" i="6"/>
  <c r="L31" i="6"/>
  <c r="J28" i="6"/>
  <c r="I25" i="6"/>
  <c r="N21" i="6"/>
  <c r="M18" i="6"/>
  <c r="L15" i="6"/>
  <c r="J12" i="6"/>
  <c r="I9" i="6"/>
  <c r="N5" i="6"/>
  <c r="J3" i="6"/>
  <c r="L21" i="6"/>
  <c r="J18" i="6"/>
  <c r="I15" i="6"/>
  <c r="N11" i="6"/>
  <c r="M8" i="6"/>
  <c r="L5" i="6"/>
  <c r="K31" i="6"/>
  <c r="K27" i="6"/>
  <c r="K23" i="6"/>
  <c r="K19" i="6"/>
  <c r="K15" i="6"/>
  <c r="K11" i="6"/>
  <c r="K7" i="6"/>
  <c r="K3" i="6"/>
  <c r="J501" i="6"/>
  <c r="I311" i="6"/>
  <c r="I343" i="6"/>
  <c r="J359" i="6"/>
  <c r="M373" i="6"/>
  <c r="I384" i="6"/>
  <c r="K399" i="6"/>
  <c r="K415" i="6"/>
  <c r="I425" i="6"/>
  <c r="I429" i="6"/>
  <c r="I433" i="6"/>
  <c r="I437" i="6"/>
  <c r="I441" i="6"/>
  <c r="I445" i="6"/>
  <c r="I449" i="6"/>
  <c r="K453" i="6"/>
  <c r="K457" i="6"/>
  <c r="K461" i="6"/>
  <c r="K465" i="6"/>
  <c r="K469" i="6"/>
  <c r="K473" i="6"/>
  <c r="K477" i="6"/>
  <c r="K481" i="6"/>
  <c r="L485" i="6"/>
  <c r="L489" i="6"/>
  <c r="L493" i="6"/>
  <c r="L497" i="6"/>
  <c r="L501" i="6"/>
  <c r="N494" i="6"/>
  <c r="J499" i="6"/>
  <c r="I260" i="6"/>
  <c r="I307" i="6"/>
  <c r="I339" i="6"/>
  <c r="M361" i="6"/>
  <c r="I372" i="6"/>
  <c r="K386" i="6"/>
  <c r="K398" i="6"/>
  <c r="K414" i="6"/>
  <c r="K427" i="6"/>
  <c r="K435" i="6"/>
  <c r="K443" i="6"/>
  <c r="I451" i="6"/>
  <c r="I455" i="6"/>
  <c r="I459" i="6"/>
  <c r="I463" i="6"/>
  <c r="I467" i="6"/>
  <c r="I471" i="6"/>
  <c r="I475" i="6"/>
  <c r="I479" i="6"/>
  <c r="I483" i="6"/>
  <c r="I486" i="6"/>
  <c r="I488" i="6"/>
  <c r="I490" i="6"/>
  <c r="I492" i="6"/>
  <c r="I494" i="6"/>
  <c r="I496" i="6"/>
  <c r="I498" i="6"/>
  <c r="I500" i="6"/>
  <c r="I193" i="6"/>
  <c r="I276" i="6"/>
  <c r="I303" i="6"/>
  <c r="I335" i="6"/>
  <c r="K358" i="6"/>
  <c r="N372" i="6"/>
  <c r="J383" i="6"/>
  <c r="K397" i="6"/>
  <c r="K413" i="6"/>
  <c r="I426" i="6"/>
  <c r="I430" i="6"/>
  <c r="I434" i="6"/>
  <c r="I438" i="6"/>
  <c r="I442" i="6"/>
  <c r="I446" i="6"/>
  <c r="I450" i="6"/>
  <c r="L454" i="6"/>
  <c r="L458" i="6"/>
  <c r="L462" i="6"/>
  <c r="L466" i="6"/>
  <c r="L470" i="6"/>
  <c r="L474" i="6"/>
  <c r="L478" i="6"/>
  <c r="L482" i="6"/>
  <c r="J485" i="6"/>
  <c r="J487" i="6"/>
  <c r="J489" i="6"/>
  <c r="J492" i="6"/>
  <c r="N496" i="6"/>
  <c r="N501" i="6"/>
  <c r="M4" i="6"/>
  <c r="K30" i="6"/>
  <c r="K26" i="6"/>
  <c r="K22" i="6"/>
  <c r="K14" i="6"/>
  <c r="K10" i="6"/>
  <c r="K6" i="6"/>
  <c r="L258" i="6"/>
  <c r="M316" i="6"/>
  <c r="M348" i="6"/>
  <c r="N364" i="6"/>
  <c r="J375" i="6"/>
  <c r="M389" i="6"/>
  <c r="K403" i="6"/>
  <c r="K419" i="6"/>
  <c r="M426" i="6"/>
  <c r="M430" i="6"/>
  <c r="M434" i="6"/>
  <c r="M438" i="6"/>
  <c r="M442" i="6"/>
  <c r="M446" i="6"/>
  <c r="M450" i="6"/>
  <c r="I454" i="6"/>
  <c r="I458" i="6"/>
  <c r="I462" i="6"/>
  <c r="I466" i="6"/>
  <c r="I470" i="6"/>
  <c r="I474" i="6"/>
  <c r="I478" i="6"/>
  <c r="I482" i="6"/>
  <c r="L486" i="6"/>
  <c r="L490" i="6"/>
  <c r="L494" i="6"/>
  <c r="L498" i="6"/>
  <c r="N489" i="6"/>
  <c r="N495" i="6"/>
  <c r="N500" i="6"/>
  <c r="K267" i="6"/>
  <c r="M312" i="6"/>
  <c r="M344" i="6"/>
  <c r="J363" i="6"/>
  <c r="M377" i="6"/>
  <c r="I388" i="6"/>
  <c r="K402" i="6"/>
  <c r="K418" i="6"/>
  <c r="K429" i="6"/>
  <c r="K437" i="6"/>
  <c r="K445" i="6"/>
  <c r="M452" i="6"/>
  <c r="M456" i="6"/>
  <c r="M460" i="6"/>
  <c r="M464" i="6"/>
  <c r="M468" i="6"/>
  <c r="M472" i="6"/>
  <c r="M476" i="6"/>
  <c r="M480" i="6"/>
  <c r="M484" i="6"/>
  <c r="M486" i="6"/>
  <c r="M488" i="6"/>
  <c r="M490" i="6"/>
  <c r="M492" i="6"/>
  <c r="M494" i="6"/>
  <c r="M496" i="6"/>
  <c r="M498" i="6"/>
  <c r="M500" i="6"/>
  <c r="J223" i="6"/>
  <c r="K283" i="6"/>
  <c r="M308" i="6"/>
  <c r="M340" i="6"/>
  <c r="I360" i="6"/>
  <c r="K374" i="6"/>
  <c r="N388" i="6"/>
  <c r="K401" i="6"/>
  <c r="K417" i="6"/>
  <c r="M427" i="6"/>
  <c r="M431" i="6"/>
  <c r="M435" i="6"/>
  <c r="M439" i="6"/>
  <c r="M443" i="6"/>
  <c r="M447" i="6"/>
  <c r="K451" i="6"/>
  <c r="K455" i="6"/>
  <c r="K459" i="6"/>
  <c r="K463" i="6"/>
  <c r="K467" i="6"/>
  <c r="K471" i="6"/>
  <c r="K475" i="6"/>
  <c r="K479" i="6"/>
  <c r="K483" i="6"/>
  <c r="N485" i="6"/>
  <c r="N487" i="6"/>
  <c r="J490" i="6"/>
  <c r="J493" i="6"/>
  <c r="J497" i="6"/>
  <c r="N490" i="6"/>
  <c r="N60" i="6"/>
  <c r="M56" i="6"/>
  <c r="I48" i="6"/>
  <c r="N44" i="6"/>
  <c r="M37" i="6"/>
  <c r="M27" i="6"/>
  <c r="L4" i="6"/>
  <c r="K103" i="6"/>
  <c r="K99" i="6"/>
  <c r="K95" i="6"/>
  <c r="K91" i="6"/>
  <c r="K87" i="6"/>
  <c r="K83" i="6"/>
  <c r="K79" i="6"/>
  <c r="K75" i="6"/>
  <c r="K71" i="6"/>
  <c r="K67" i="6"/>
  <c r="K64" i="6"/>
  <c r="J61" i="6"/>
  <c r="I58" i="6"/>
  <c r="N54" i="6"/>
  <c r="M51" i="6"/>
  <c r="K48" i="6"/>
  <c r="J45" i="6"/>
  <c r="I42" i="6"/>
  <c r="N38" i="6"/>
  <c r="M35" i="6"/>
  <c r="K32" i="6"/>
  <c r="J27" i="6"/>
  <c r="I20" i="6"/>
  <c r="N16" i="6"/>
  <c r="M9" i="6"/>
  <c r="J52" i="6"/>
  <c r="I49" i="6"/>
  <c r="N45" i="6"/>
  <c r="M42" i="6"/>
  <c r="K39" i="6"/>
  <c r="J36" i="6"/>
  <c r="I33" i="6"/>
  <c r="M29" i="6"/>
  <c r="L25" i="6"/>
  <c r="I18" i="6"/>
  <c r="N14" i="6"/>
  <c r="M7" i="6"/>
  <c r="N27" i="6"/>
  <c r="J23" i="6"/>
  <c r="I16" i="6"/>
  <c r="N12" i="6"/>
  <c r="M5" i="6"/>
  <c r="L65" i="6"/>
  <c r="L61" i="6"/>
  <c r="L57" i="6"/>
  <c r="L53" i="6"/>
  <c r="L49" i="6"/>
  <c r="L45" i="6"/>
  <c r="L41" i="6"/>
  <c r="L37" i="6"/>
  <c r="L33" i="6"/>
  <c r="N29" i="6"/>
  <c r="M26" i="6"/>
  <c r="L23" i="6"/>
  <c r="J20" i="6"/>
  <c r="I17" i="6"/>
  <c r="N13" i="6"/>
  <c r="M10" i="6"/>
  <c r="L7" i="6"/>
  <c r="J4" i="6"/>
  <c r="I23" i="6"/>
  <c r="N19" i="6"/>
  <c r="M16" i="6"/>
  <c r="L13" i="6"/>
  <c r="J10" i="6"/>
  <c r="I7" i="6"/>
  <c r="N3" i="6"/>
  <c r="K29" i="6"/>
  <c r="K25" i="6"/>
  <c r="K21" i="6"/>
  <c r="K17" i="6"/>
  <c r="K13" i="6"/>
  <c r="K9" i="6"/>
  <c r="K5" i="6"/>
  <c r="J498" i="6"/>
  <c r="M265" i="6"/>
  <c r="I327" i="6"/>
  <c r="M354" i="6"/>
  <c r="K366" i="6"/>
  <c r="N380" i="6"/>
  <c r="J391" i="6"/>
  <c r="K407" i="6"/>
  <c r="K423" i="6"/>
  <c r="I427" i="6"/>
  <c r="I431" i="6"/>
  <c r="I435" i="6"/>
  <c r="I439" i="6"/>
  <c r="I443" i="6"/>
  <c r="I447" i="6"/>
  <c r="M451" i="6"/>
  <c r="M455" i="6"/>
  <c r="M459" i="6"/>
  <c r="M463" i="6"/>
  <c r="M467" i="6"/>
  <c r="M471" i="6"/>
  <c r="M475" i="6"/>
  <c r="M479" i="6"/>
  <c r="M483" i="6"/>
  <c r="L487" i="6"/>
  <c r="L491" i="6"/>
  <c r="L495" i="6"/>
  <c r="L499" i="6"/>
  <c r="N492" i="6"/>
  <c r="J496" i="6"/>
  <c r="I216" i="6"/>
  <c r="L274" i="6"/>
  <c r="I323" i="6"/>
  <c r="M352" i="6"/>
  <c r="N368" i="6"/>
  <c r="J379" i="6"/>
  <c r="M393" i="6"/>
  <c r="K406" i="6"/>
  <c r="K422" i="6"/>
  <c r="K431" i="6"/>
  <c r="K439" i="6"/>
  <c r="K447" i="6"/>
  <c r="L453" i="6"/>
  <c r="L457" i="6"/>
  <c r="L461" i="6"/>
  <c r="L465" i="6"/>
  <c r="L469" i="6"/>
  <c r="L473" i="6"/>
  <c r="L477" i="6"/>
  <c r="L481" i="6"/>
  <c r="I485" i="6"/>
  <c r="I487" i="6"/>
  <c r="I489" i="6"/>
  <c r="I491" i="6"/>
  <c r="I493" i="6"/>
  <c r="I495" i="6"/>
  <c r="I497" i="6"/>
  <c r="I499" i="6"/>
  <c r="I501" i="6"/>
  <c r="I245" i="6"/>
  <c r="L290" i="6"/>
  <c r="I319" i="6"/>
  <c r="M350" i="6"/>
  <c r="M365" i="6"/>
  <c r="I376" i="6"/>
  <c r="K390" i="6"/>
  <c r="K405" i="6"/>
  <c r="K421" i="6"/>
  <c r="I428" i="6"/>
  <c r="I432" i="6"/>
  <c r="I436" i="6"/>
  <c r="I440" i="6"/>
  <c r="I444" i="6"/>
  <c r="I448" i="6"/>
  <c r="I452" i="6"/>
  <c r="I456" i="6"/>
  <c r="I460" i="6"/>
  <c r="I464" i="6"/>
  <c r="I468" i="6"/>
  <c r="I472" i="6"/>
  <c r="I476" i="6"/>
  <c r="I480" i="6"/>
  <c r="I484" i="6"/>
  <c r="J486" i="6"/>
  <c r="J488" i="6"/>
  <c r="J491" i="6"/>
  <c r="J494" i="6"/>
  <c r="N498" i="6"/>
  <c r="M237" i="6"/>
  <c r="N2" i="6"/>
  <c r="J2" i="6"/>
  <c r="L2" i="6"/>
  <c r="K2" i="6"/>
  <c r="M2" i="6"/>
  <c r="R48" i="2"/>
  <c r="R56" i="2"/>
  <c r="R64" i="2"/>
  <c r="R72" i="2"/>
  <c r="R80" i="2"/>
  <c r="R88" i="2"/>
  <c r="R104" i="2"/>
  <c r="U162" i="2"/>
  <c r="D162" i="2" s="1"/>
  <c r="U160" i="2"/>
  <c r="D160" i="2" s="1"/>
  <c r="U158" i="2"/>
  <c r="D158" i="2" s="1"/>
  <c r="U156" i="2"/>
  <c r="D156" i="2" s="1"/>
  <c r="U154" i="2"/>
  <c r="D154" i="2" s="1"/>
  <c r="U152" i="2"/>
  <c r="D152" i="2" s="1"/>
  <c r="U150" i="2"/>
  <c r="D150" i="2" s="1"/>
  <c r="U148" i="2"/>
  <c r="D148" i="2" s="1"/>
  <c r="U146" i="2"/>
  <c r="D146" i="2" s="1"/>
  <c r="U144" i="2"/>
  <c r="D144" i="2" s="1"/>
  <c r="U142" i="2"/>
  <c r="D142" i="2" s="1"/>
  <c r="U140" i="2"/>
  <c r="D140" i="2" s="1"/>
  <c r="U138" i="2"/>
  <c r="D138" i="2" s="1"/>
  <c r="U136" i="2"/>
  <c r="D136" i="2" s="1"/>
  <c r="U134" i="2"/>
  <c r="D134" i="2" s="1"/>
  <c r="U132" i="2"/>
  <c r="D132" i="2" s="1"/>
  <c r="U130" i="2"/>
  <c r="D130" i="2" s="1"/>
  <c r="U128" i="2"/>
  <c r="D128" i="2" s="1"/>
  <c r="U126" i="2"/>
  <c r="D126" i="2" s="1"/>
  <c r="U124" i="2"/>
  <c r="D124" i="2" s="1"/>
  <c r="U122" i="2"/>
  <c r="D122" i="2" s="1"/>
  <c r="U120" i="2"/>
  <c r="D120" i="2" s="1"/>
  <c r="U118" i="2"/>
  <c r="D118" i="2" s="1"/>
  <c r="U116" i="2"/>
  <c r="D116" i="2" s="1"/>
  <c r="U114" i="2"/>
  <c r="D114" i="2" s="1"/>
  <c r="U112" i="2"/>
  <c r="D112" i="2" s="1"/>
  <c r="U110" i="2"/>
  <c r="D110" i="2" s="1"/>
  <c r="U108" i="2"/>
  <c r="D108" i="2" s="1"/>
  <c r="U106" i="2"/>
  <c r="D106" i="2" s="1"/>
  <c r="U104" i="2"/>
  <c r="D104" i="2" s="1"/>
  <c r="U102" i="2"/>
  <c r="D102" i="2" s="1"/>
  <c r="U100" i="2"/>
  <c r="D100" i="2" s="1"/>
  <c r="U98" i="2"/>
  <c r="D98" i="2" s="1"/>
  <c r="U96" i="2"/>
  <c r="D96" i="2" s="1"/>
  <c r="U94" i="2"/>
  <c r="D94" i="2" s="1"/>
  <c r="U92" i="2"/>
  <c r="D92" i="2" s="1"/>
  <c r="U90" i="2"/>
  <c r="D90" i="2" s="1"/>
  <c r="U88" i="2"/>
  <c r="D88" i="2" s="1"/>
  <c r="U86" i="2"/>
  <c r="D86" i="2" s="1"/>
  <c r="U84" i="2"/>
  <c r="D84" i="2" s="1"/>
  <c r="U82" i="2"/>
  <c r="D82" i="2" s="1"/>
  <c r="U80" i="2"/>
  <c r="D80" i="2" s="1"/>
  <c r="U78" i="2"/>
  <c r="D78" i="2" s="1"/>
  <c r="U76" i="2"/>
  <c r="D76" i="2" s="1"/>
  <c r="U74" i="2"/>
  <c r="D74" i="2" s="1"/>
  <c r="U72" i="2"/>
  <c r="D72" i="2" s="1"/>
  <c r="U70" i="2"/>
  <c r="D70" i="2" s="1"/>
  <c r="U68" i="2"/>
  <c r="D68" i="2" s="1"/>
  <c r="U66" i="2"/>
  <c r="D66" i="2" s="1"/>
  <c r="U64" i="2"/>
  <c r="D64" i="2" s="1"/>
  <c r="U62" i="2"/>
  <c r="D62" i="2" s="1"/>
  <c r="U60" i="2"/>
  <c r="D60" i="2" s="1"/>
  <c r="U58" i="2"/>
  <c r="D58" i="2" s="1"/>
  <c r="U56" i="2"/>
  <c r="D56" i="2" s="1"/>
  <c r="U54" i="2"/>
  <c r="D54" i="2" s="1"/>
  <c r="U52" i="2"/>
  <c r="D52" i="2" s="1"/>
  <c r="U50" i="2"/>
  <c r="D50" i="2" s="1"/>
  <c r="U48" i="2"/>
  <c r="D48" i="2" s="1"/>
  <c r="U42" i="2"/>
  <c r="D42" i="2" s="1"/>
  <c r="U46" i="2"/>
  <c r="D46" i="2" s="1"/>
  <c r="U21" i="2"/>
  <c r="D21" i="2" s="1"/>
  <c r="U25" i="2"/>
  <c r="D25" i="2" s="1"/>
  <c r="U29" i="2"/>
  <c r="D29" i="2" s="1"/>
  <c r="U33" i="2"/>
  <c r="D33" i="2" s="1"/>
  <c r="U37" i="2"/>
  <c r="D37" i="2" s="1"/>
  <c r="U161" i="2"/>
  <c r="D161" i="2" s="1"/>
  <c r="U159" i="2"/>
  <c r="D159" i="2" s="1"/>
  <c r="U157" i="2"/>
  <c r="D157" i="2" s="1"/>
  <c r="U155" i="2"/>
  <c r="D155" i="2" s="1"/>
  <c r="U153" i="2"/>
  <c r="D153" i="2" s="1"/>
  <c r="U151" i="2"/>
  <c r="D151" i="2" s="1"/>
  <c r="U149" i="2"/>
  <c r="D149" i="2" s="1"/>
  <c r="U147" i="2"/>
  <c r="D147" i="2" s="1"/>
  <c r="U145" i="2"/>
  <c r="D145" i="2" s="1"/>
  <c r="U143" i="2"/>
  <c r="D143" i="2" s="1"/>
  <c r="U141" i="2"/>
  <c r="D141" i="2" s="1"/>
  <c r="U139" i="2"/>
  <c r="D139" i="2" s="1"/>
  <c r="U137" i="2"/>
  <c r="D137" i="2" s="1"/>
  <c r="U135" i="2"/>
  <c r="D135" i="2" s="1"/>
  <c r="U133" i="2"/>
  <c r="D133" i="2" s="1"/>
  <c r="U131" i="2"/>
  <c r="D131" i="2" s="1"/>
  <c r="U129" i="2"/>
  <c r="D129" i="2" s="1"/>
  <c r="U127" i="2"/>
  <c r="D127" i="2" s="1"/>
  <c r="U125" i="2"/>
  <c r="D125" i="2" s="1"/>
  <c r="U123" i="2"/>
  <c r="D123" i="2" s="1"/>
  <c r="U121" i="2"/>
  <c r="D121" i="2" s="1"/>
  <c r="U119" i="2"/>
  <c r="D119" i="2" s="1"/>
  <c r="U117" i="2"/>
  <c r="D117" i="2" s="1"/>
  <c r="U115" i="2"/>
  <c r="D115" i="2" s="1"/>
  <c r="U113" i="2"/>
  <c r="D113" i="2" s="1"/>
  <c r="U111" i="2"/>
  <c r="D111" i="2" s="1"/>
  <c r="U109" i="2"/>
  <c r="D109" i="2" s="1"/>
  <c r="U107" i="2"/>
  <c r="D107" i="2" s="1"/>
  <c r="U105" i="2"/>
  <c r="D105" i="2" s="1"/>
  <c r="U103" i="2"/>
  <c r="D103" i="2" s="1"/>
  <c r="U101" i="2"/>
  <c r="D101" i="2" s="1"/>
  <c r="U99" i="2"/>
  <c r="D99" i="2" s="1"/>
  <c r="U97" i="2"/>
  <c r="D97" i="2" s="1"/>
  <c r="U95" i="2"/>
  <c r="D95" i="2" s="1"/>
  <c r="U93" i="2"/>
  <c r="D93" i="2" s="1"/>
  <c r="U91" i="2"/>
  <c r="D91" i="2" s="1"/>
  <c r="U89" i="2"/>
  <c r="D89" i="2" s="1"/>
  <c r="U87" i="2"/>
  <c r="D87" i="2" s="1"/>
  <c r="U85" i="2"/>
  <c r="D85" i="2" s="1"/>
  <c r="U83" i="2"/>
  <c r="D83" i="2" s="1"/>
  <c r="U81" i="2"/>
  <c r="D81" i="2" s="1"/>
  <c r="U79" i="2"/>
  <c r="D79" i="2" s="1"/>
  <c r="U77" i="2"/>
  <c r="D77" i="2" s="1"/>
  <c r="U75" i="2"/>
  <c r="D75" i="2" s="1"/>
  <c r="U73" i="2"/>
  <c r="D73" i="2" s="1"/>
  <c r="U71" i="2"/>
  <c r="D71" i="2" s="1"/>
  <c r="U69" i="2"/>
  <c r="D69" i="2" s="1"/>
  <c r="U67" i="2"/>
  <c r="D67" i="2" s="1"/>
  <c r="U65" i="2"/>
  <c r="D65" i="2" s="1"/>
  <c r="U63" i="2"/>
  <c r="D63" i="2" s="1"/>
  <c r="U61" i="2"/>
  <c r="D61" i="2" s="1"/>
  <c r="U59" i="2"/>
  <c r="D59" i="2" s="1"/>
  <c r="U57" i="2"/>
  <c r="D57" i="2" s="1"/>
  <c r="U55" i="2"/>
  <c r="D55" i="2" s="1"/>
  <c r="U53" i="2"/>
  <c r="D53" i="2" s="1"/>
  <c r="U51" i="2"/>
  <c r="D51" i="2" s="1"/>
  <c r="U49" i="2"/>
  <c r="D49" i="2" s="1"/>
  <c r="U47" i="2"/>
  <c r="D47" i="2" s="1"/>
  <c r="U40" i="2"/>
  <c r="D40" i="2" s="1"/>
  <c r="U44" i="2"/>
  <c r="D44" i="2" s="1"/>
  <c r="U19" i="2"/>
  <c r="D19" i="2" s="1"/>
  <c r="U23" i="2"/>
  <c r="D23" i="2" s="1"/>
  <c r="U27" i="2"/>
  <c r="D27" i="2" s="1"/>
  <c r="U31" i="2"/>
  <c r="D31" i="2" s="1"/>
  <c r="U35" i="2"/>
  <c r="D35" i="2" s="1"/>
  <c r="U17" i="2"/>
  <c r="D17" i="2" s="1"/>
  <c r="U41" i="2"/>
  <c r="D41" i="2" s="1"/>
  <c r="U45" i="2"/>
  <c r="D45" i="2" s="1"/>
  <c r="U20" i="2"/>
  <c r="D20" i="2" s="1"/>
  <c r="U24" i="2"/>
  <c r="D24" i="2" s="1"/>
  <c r="U28" i="2"/>
  <c r="D28" i="2" s="1"/>
  <c r="U32" i="2"/>
  <c r="D32" i="2" s="1"/>
  <c r="U36" i="2"/>
  <c r="D36" i="2" s="1"/>
  <c r="M14" i="2"/>
  <c r="U30" i="2"/>
  <c r="D30" i="2" s="1"/>
  <c r="U43" i="2"/>
  <c r="D43" i="2" s="1"/>
  <c r="R58" i="2"/>
  <c r="R66" i="2"/>
  <c r="R74" i="2"/>
  <c r="R82" i="2"/>
  <c r="R90" i="2"/>
  <c r="R98" i="2"/>
  <c r="E3" i="1"/>
  <c r="F3" i="1"/>
  <c r="R60" i="2"/>
  <c r="R76" i="2"/>
  <c r="R92" i="2"/>
  <c r="R40" i="2"/>
  <c r="R156" i="2"/>
  <c r="R152" i="2"/>
  <c r="R150" i="2"/>
  <c r="R146" i="2"/>
  <c r="R144" i="2"/>
  <c r="R142" i="2"/>
  <c r="R140" i="2"/>
  <c r="R138" i="2"/>
  <c r="R136" i="2"/>
  <c r="R134" i="2"/>
  <c r="R126" i="2"/>
  <c r="R124" i="2"/>
  <c r="R120" i="2"/>
  <c r="R118" i="2"/>
  <c r="R114" i="2"/>
  <c r="R112" i="2"/>
  <c r="R110" i="2"/>
  <c r="R108" i="2"/>
  <c r="R106" i="2"/>
  <c r="R162" i="2"/>
  <c r="R159" i="2"/>
  <c r="R161" i="2"/>
  <c r="R157" i="2"/>
  <c r="R153" i="2"/>
  <c r="R151" i="2"/>
  <c r="R149" i="2"/>
  <c r="R145" i="2"/>
  <c r="R143" i="2"/>
  <c r="R141" i="2"/>
  <c r="R137" i="2"/>
  <c r="R133" i="2"/>
  <c r="R131" i="2"/>
  <c r="R129" i="2"/>
  <c r="R127" i="2"/>
  <c r="R125" i="2"/>
  <c r="R123" i="2"/>
  <c r="R121" i="2"/>
  <c r="R119" i="2"/>
  <c r="R117" i="2"/>
  <c r="R115" i="2"/>
  <c r="R111" i="2"/>
  <c r="R107" i="2"/>
  <c r="R105" i="2"/>
  <c r="R103" i="2"/>
  <c r="R101" i="2"/>
  <c r="R99" i="2"/>
  <c r="R97" i="2"/>
  <c r="R95" i="2"/>
  <c r="R93" i="2"/>
  <c r="R91" i="2"/>
  <c r="R89" i="2"/>
  <c r="R87" i="2"/>
  <c r="R85" i="2"/>
  <c r="R83" i="2"/>
  <c r="R81" i="2"/>
  <c r="R79" i="2"/>
  <c r="R77" i="2"/>
  <c r="R75" i="2"/>
  <c r="R73" i="2"/>
  <c r="R71" i="2"/>
  <c r="R69" i="2"/>
  <c r="R67" i="2"/>
  <c r="R65" i="2"/>
  <c r="R63" i="2"/>
  <c r="R61" i="2"/>
  <c r="R59" i="2"/>
  <c r="R57" i="2"/>
  <c r="R55" i="2"/>
  <c r="R53" i="2"/>
  <c r="R51" i="2"/>
  <c r="R49" i="2"/>
  <c r="R47" i="2"/>
  <c r="U38" i="2"/>
  <c r="D38" i="2" s="1"/>
  <c r="U22" i="2"/>
  <c r="D22" i="2" s="1"/>
  <c r="R54" i="2"/>
  <c r="R62" i="2"/>
  <c r="R70" i="2"/>
  <c r="R78" i="2"/>
  <c r="R36" i="2"/>
  <c r="D500" i="5"/>
  <c r="C402" i="5"/>
  <c r="C406" i="5"/>
  <c r="C410" i="5"/>
  <c r="C414" i="5"/>
  <c r="C418" i="5"/>
  <c r="C422" i="5"/>
  <c r="C426" i="5"/>
  <c r="C430" i="5"/>
  <c r="D432" i="5"/>
  <c r="C435" i="5"/>
  <c r="D440" i="5"/>
  <c r="C443" i="5"/>
  <c r="D448" i="5"/>
  <c r="C451" i="5"/>
  <c r="D456" i="5"/>
  <c r="C459" i="5"/>
  <c r="D464" i="5"/>
  <c r="C467" i="5"/>
  <c r="D472" i="5"/>
  <c r="C475" i="5"/>
  <c r="D480" i="5"/>
  <c r="C483" i="5"/>
  <c r="D488" i="5"/>
  <c r="C491" i="5"/>
  <c r="D496" i="5"/>
  <c r="C499" i="5"/>
  <c r="D404" i="5"/>
  <c r="D408" i="5"/>
  <c r="D412" i="5"/>
  <c r="D416" i="5"/>
  <c r="D420" i="5"/>
  <c r="D424" i="5"/>
  <c r="D428" i="5"/>
  <c r="C403" i="5"/>
  <c r="C407" i="5"/>
  <c r="C411" i="5"/>
  <c r="C415" i="5"/>
  <c r="C419" i="5"/>
  <c r="C423" i="5"/>
  <c r="C427" i="5"/>
  <c r="C431" i="5"/>
  <c r="D436" i="5"/>
  <c r="C439" i="5"/>
  <c r="D444" i="5"/>
  <c r="C447" i="5"/>
  <c r="D452" i="5"/>
  <c r="C455" i="5"/>
  <c r="D460" i="5"/>
  <c r="C463" i="5"/>
  <c r="D468" i="5"/>
  <c r="C471" i="5"/>
  <c r="D476" i="5"/>
  <c r="C479" i="5"/>
  <c r="D484" i="5"/>
  <c r="C487" i="5"/>
  <c r="D492" i="5"/>
  <c r="C495" i="5"/>
  <c r="D368" i="5"/>
  <c r="D499" i="5"/>
  <c r="C498" i="5"/>
  <c r="D495" i="5"/>
  <c r="C494" i="5"/>
  <c r="D491" i="5"/>
  <c r="C490" i="5"/>
  <c r="D487" i="5"/>
  <c r="C486" i="5"/>
  <c r="D483" i="5"/>
  <c r="C482" i="5"/>
  <c r="D479" i="5"/>
  <c r="C478" i="5"/>
  <c r="D475" i="5"/>
  <c r="C474" i="5"/>
  <c r="D471" i="5"/>
  <c r="C470" i="5"/>
  <c r="D467" i="5"/>
  <c r="C466" i="5"/>
  <c r="D463" i="5"/>
  <c r="C462" i="5"/>
  <c r="D459" i="5"/>
  <c r="C458" i="5"/>
  <c r="D455" i="5"/>
  <c r="C454" i="5"/>
  <c r="D451" i="5"/>
  <c r="C450" i="5"/>
  <c r="D447" i="5"/>
  <c r="C446" i="5"/>
  <c r="D443" i="5"/>
  <c r="C442" i="5"/>
  <c r="D439" i="5"/>
  <c r="C438" i="5"/>
  <c r="D435" i="5"/>
  <c r="C434" i="5"/>
  <c r="D431" i="5"/>
  <c r="D403" i="5"/>
  <c r="D407" i="5"/>
  <c r="D411" i="5"/>
  <c r="D415" i="5"/>
  <c r="D419" i="5"/>
  <c r="D423" i="5"/>
  <c r="D427" i="5"/>
  <c r="D402" i="5"/>
  <c r="C405" i="5"/>
  <c r="D406" i="5"/>
  <c r="C409" i="5"/>
  <c r="D410" i="5"/>
  <c r="C413" i="5"/>
  <c r="D414" i="5"/>
  <c r="C417" i="5"/>
  <c r="D418" i="5"/>
  <c r="C421" i="5"/>
  <c r="D422" i="5"/>
  <c r="C425" i="5"/>
  <c r="D426" i="5"/>
  <c r="C429" i="5"/>
  <c r="D430" i="5"/>
  <c r="C433" i="5"/>
  <c r="D434" i="5"/>
  <c r="C437" i="5"/>
  <c r="D438" i="5"/>
  <c r="C441" i="5"/>
  <c r="D442" i="5"/>
  <c r="C445" i="5"/>
  <c r="D446" i="5"/>
  <c r="C449" i="5"/>
  <c r="D450" i="5"/>
  <c r="C453" i="5"/>
  <c r="D454" i="5"/>
  <c r="C457" i="5"/>
  <c r="D458" i="5"/>
  <c r="C461" i="5"/>
  <c r="D462" i="5"/>
  <c r="C465" i="5"/>
  <c r="D466" i="5"/>
  <c r="C469" i="5"/>
  <c r="D470" i="5"/>
  <c r="C473" i="5"/>
  <c r="D474" i="5"/>
  <c r="C477" i="5"/>
  <c r="D478" i="5"/>
  <c r="C481" i="5"/>
  <c r="D482" i="5"/>
  <c r="C485" i="5"/>
  <c r="D486" i="5"/>
  <c r="C489" i="5"/>
  <c r="D490" i="5"/>
  <c r="C493" i="5"/>
  <c r="D494" i="5"/>
  <c r="C497" i="5"/>
  <c r="D498" i="5"/>
  <c r="C501" i="5"/>
  <c r="C404" i="5"/>
  <c r="E404" i="5" s="1"/>
  <c r="D405" i="5"/>
  <c r="C408" i="5"/>
  <c r="D409" i="5"/>
  <c r="C412" i="5"/>
  <c r="D413" i="5"/>
  <c r="C416" i="5"/>
  <c r="D417" i="5"/>
  <c r="C420" i="5"/>
  <c r="E420" i="5" s="1"/>
  <c r="D421" i="5"/>
  <c r="C424" i="5"/>
  <c r="D425" i="5"/>
  <c r="C428" i="5"/>
  <c r="D429" i="5"/>
  <c r="C432" i="5"/>
  <c r="E432" i="5" s="1"/>
  <c r="D433" i="5"/>
  <c r="C436" i="5"/>
  <c r="D437" i="5"/>
  <c r="C440" i="5"/>
  <c r="D441" i="5"/>
  <c r="C444" i="5"/>
  <c r="D445" i="5"/>
  <c r="C448" i="5"/>
  <c r="E448" i="5" s="1"/>
  <c r="D449" i="5"/>
  <c r="C452" i="5"/>
  <c r="D453" i="5"/>
  <c r="C456" i="5"/>
  <c r="D457" i="5"/>
  <c r="C460" i="5"/>
  <c r="D461" i="5"/>
  <c r="C464" i="5"/>
  <c r="E464" i="5" s="1"/>
  <c r="D465" i="5"/>
  <c r="C468" i="5"/>
  <c r="D469" i="5"/>
  <c r="C472" i="5"/>
  <c r="D473" i="5"/>
  <c r="C476" i="5"/>
  <c r="D477" i="5"/>
  <c r="C480" i="5"/>
  <c r="E480" i="5" s="1"/>
  <c r="D481" i="5"/>
  <c r="C484" i="5"/>
  <c r="D485" i="5"/>
  <c r="C488" i="5"/>
  <c r="D489" i="5"/>
  <c r="C492" i="5"/>
  <c r="D493" i="5"/>
  <c r="C496" i="5"/>
  <c r="E496" i="5" s="1"/>
  <c r="D497" i="5"/>
  <c r="C500" i="5"/>
  <c r="D501" i="5"/>
  <c r="C307" i="5"/>
  <c r="C311" i="5"/>
  <c r="C315" i="5"/>
  <c r="D316" i="5"/>
  <c r="D320" i="5"/>
  <c r="C323" i="5"/>
  <c r="C327" i="5"/>
  <c r="D332" i="5"/>
  <c r="C335" i="5"/>
  <c r="D340" i="5"/>
  <c r="C343" i="5"/>
  <c r="D348" i="5"/>
  <c r="C351" i="5"/>
  <c r="D356" i="5"/>
  <c r="C359" i="5"/>
  <c r="D364" i="5"/>
  <c r="C367" i="5"/>
  <c r="C371" i="5"/>
  <c r="D376" i="5"/>
  <c r="C379" i="5"/>
  <c r="D384" i="5"/>
  <c r="C387" i="5"/>
  <c r="D392" i="5"/>
  <c r="C395" i="5"/>
  <c r="D396" i="5"/>
  <c r="D400" i="5"/>
  <c r="C302" i="5"/>
  <c r="D303" i="5"/>
  <c r="C306" i="5"/>
  <c r="D307" i="5"/>
  <c r="C310" i="5"/>
  <c r="D311" i="5"/>
  <c r="C314" i="5"/>
  <c r="D315" i="5"/>
  <c r="C318" i="5"/>
  <c r="D319" i="5"/>
  <c r="C322" i="5"/>
  <c r="D323" i="5"/>
  <c r="C326" i="5"/>
  <c r="D327" i="5"/>
  <c r="C330" i="5"/>
  <c r="D331" i="5"/>
  <c r="C334" i="5"/>
  <c r="D335" i="5"/>
  <c r="C338" i="5"/>
  <c r="D339" i="5"/>
  <c r="C342" i="5"/>
  <c r="D343" i="5"/>
  <c r="C346" i="5"/>
  <c r="D347" i="5"/>
  <c r="C350" i="5"/>
  <c r="D351" i="5"/>
  <c r="C354" i="5"/>
  <c r="D355" i="5"/>
  <c r="C358" i="5"/>
  <c r="D359" i="5"/>
  <c r="C362" i="5"/>
  <c r="D363" i="5"/>
  <c r="C366" i="5"/>
  <c r="D367" i="5"/>
  <c r="C370" i="5"/>
  <c r="D371" i="5"/>
  <c r="C374" i="5"/>
  <c r="D375" i="5"/>
  <c r="C378" i="5"/>
  <c r="D379" i="5"/>
  <c r="C382" i="5"/>
  <c r="D383" i="5"/>
  <c r="C386" i="5"/>
  <c r="D387" i="5"/>
  <c r="C390" i="5"/>
  <c r="D391" i="5"/>
  <c r="C394" i="5"/>
  <c r="D395" i="5"/>
  <c r="C398" i="5"/>
  <c r="D399" i="5"/>
  <c r="C303" i="5"/>
  <c r="D324" i="5"/>
  <c r="D328" i="5"/>
  <c r="C331" i="5"/>
  <c r="D336" i="5"/>
  <c r="C339" i="5"/>
  <c r="E339" i="5" s="1"/>
  <c r="D344" i="5"/>
  <c r="C347" i="5"/>
  <c r="D352" i="5"/>
  <c r="C355" i="5"/>
  <c r="E355" i="5" s="1"/>
  <c r="D360" i="5"/>
  <c r="C363" i="5"/>
  <c r="D372" i="5"/>
  <c r="C375" i="5"/>
  <c r="D380" i="5"/>
  <c r="C383" i="5"/>
  <c r="E383" i="5" s="1"/>
  <c r="D388" i="5"/>
  <c r="C391" i="5"/>
  <c r="C399" i="5"/>
  <c r="D302" i="5"/>
  <c r="C305" i="5"/>
  <c r="D306" i="5"/>
  <c r="C309" i="5"/>
  <c r="D310" i="5"/>
  <c r="C313" i="5"/>
  <c r="D314" i="5"/>
  <c r="C317" i="5"/>
  <c r="D318" i="5"/>
  <c r="C321" i="5"/>
  <c r="D322" i="5"/>
  <c r="C325" i="5"/>
  <c r="D326" i="5"/>
  <c r="C329" i="5"/>
  <c r="D330" i="5"/>
  <c r="C333" i="5"/>
  <c r="D334" i="5"/>
  <c r="C337" i="5"/>
  <c r="D338" i="5"/>
  <c r="C341" i="5"/>
  <c r="D342" i="5"/>
  <c r="C345" i="5"/>
  <c r="D346" i="5"/>
  <c r="C349" i="5"/>
  <c r="D350" i="5"/>
  <c r="C353" i="5"/>
  <c r="D354" i="5"/>
  <c r="C357" i="5"/>
  <c r="D358" i="5"/>
  <c r="C361" i="5"/>
  <c r="D362" i="5"/>
  <c r="C365" i="5"/>
  <c r="D366" i="5"/>
  <c r="C369" i="5"/>
  <c r="D370" i="5"/>
  <c r="C373" i="5"/>
  <c r="D374" i="5"/>
  <c r="C377" i="5"/>
  <c r="D378" i="5"/>
  <c r="C381" i="5"/>
  <c r="D382" i="5"/>
  <c r="C385" i="5"/>
  <c r="D386" i="5"/>
  <c r="C389" i="5"/>
  <c r="D390" i="5"/>
  <c r="C393" i="5"/>
  <c r="D394" i="5"/>
  <c r="C397" i="5"/>
  <c r="D398" i="5"/>
  <c r="C401" i="5"/>
  <c r="D304" i="5"/>
  <c r="D308" i="5"/>
  <c r="D312" i="5"/>
  <c r="C319" i="5"/>
  <c r="C304" i="5"/>
  <c r="E304" i="5" s="1"/>
  <c r="D305" i="5"/>
  <c r="C308" i="5"/>
  <c r="D309" i="5"/>
  <c r="C312" i="5"/>
  <c r="D313" i="5"/>
  <c r="C316" i="5"/>
  <c r="E316" i="5" s="1"/>
  <c r="D317" i="5"/>
  <c r="C320" i="5"/>
  <c r="D321" i="5"/>
  <c r="C324" i="5"/>
  <c r="D325" i="5"/>
  <c r="C328" i="5"/>
  <c r="D329" i="5"/>
  <c r="C332" i="5"/>
  <c r="E332" i="5" s="1"/>
  <c r="D333" i="5"/>
  <c r="C336" i="5"/>
  <c r="D337" i="5"/>
  <c r="C340" i="5"/>
  <c r="D341" i="5"/>
  <c r="C344" i="5"/>
  <c r="D345" i="5"/>
  <c r="C348" i="5"/>
  <c r="E348" i="5" s="1"/>
  <c r="D349" i="5"/>
  <c r="C352" i="5"/>
  <c r="D353" i="5"/>
  <c r="C356" i="5"/>
  <c r="D357" i="5"/>
  <c r="C360" i="5"/>
  <c r="D361" i="5"/>
  <c r="C364" i="5"/>
  <c r="E364" i="5" s="1"/>
  <c r="D365" i="5"/>
  <c r="C368" i="5"/>
  <c r="E368" i="5" s="1"/>
  <c r="D369" i="5"/>
  <c r="C372" i="5"/>
  <c r="D373" i="5"/>
  <c r="C376" i="5"/>
  <c r="D377" i="5"/>
  <c r="C380" i="5"/>
  <c r="D381" i="5"/>
  <c r="C384" i="5"/>
  <c r="D385" i="5"/>
  <c r="C388" i="5"/>
  <c r="D389" i="5"/>
  <c r="C392" i="5"/>
  <c r="D393" i="5"/>
  <c r="C396" i="5"/>
  <c r="D397" i="5"/>
  <c r="C400" i="5"/>
  <c r="E400" i="5" s="1"/>
  <c r="D401" i="5"/>
  <c r="C151" i="5"/>
  <c r="C203" i="5"/>
  <c r="D204" i="5"/>
  <c r="C207" i="5"/>
  <c r="D208" i="5"/>
  <c r="C211" i="5"/>
  <c r="D212" i="5"/>
  <c r="C215" i="5"/>
  <c r="D216" i="5"/>
  <c r="C219" i="5"/>
  <c r="D220" i="5"/>
  <c r="C223" i="5"/>
  <c r="D224" i="5"/>
  <c r="C227" i="5"/>
  <c r="D228" i="5"/>
  <c r="C231" i="5"/>
  <c r="D232" i="5"/>
  <c r="C235" i="5"/>
  <c r="D236" i="5"/>
  <c r="C239" i="5"/>
  <c r="D240" i="5"/>
  <c r="C243" i="5"/>
  <c r="D244" i="5"/>
  <c r="C247" i="5"/>
  <c r="D248" i="5"/>
  <c r="C251" i="5"/>
  <c r="D252" i="5"/>
  <c r="C255" i="5"/>
  <c r="D256" i="5"/>
  <c r="C259" i="5"/>
  <c r="D260" i="5"/>
  <c r="C263" i="5"/>
  <c r="D264" i="5"/>
  <c r="C267" i="5"/>
  <c r="D268" i="5"/>
  <c r="C271" i="5"/>
  <c r="D272" i="5"/>
  <c r="C275" i="5"/>
  <c r="D276" i="5"/>
  <c r="C279" i="5"/>
  <c r="D280" i="5"/>
  <c r="C283" i="5"/>
  <c r="D284" i="5"/>
  <c r="C287" i="5"/>
  <c r="D288" i="5"/>
  <c r="C291" i="5"/>
  <c r="D292" i="5"/>
  <c r="C295" i="5"/>
  <c r="D296" i="5"/>
  <c r="C299" i="5"/>
  <c r="D300" i="5"/>
  <c r="C202" i="5"/>
  <c r="D203" i="5"/>
  <c r="C206" i="5"/>
  <c r="D207" i="5"/>
  <c r="C210" i="5"/>
  <c r="D211" i="5"/>
  <c r="C214" i="5"/>
  <c r="D215" i="5"/>
  <c r="C218" i="5"/>
  <c r="D219" i="5"/>
  <c r="C222" i="5"/>
  <c r="D223" i="5"/>
  <c r="C226" i="5"/>
  <c r="D227" i="5"/>
  <c r="C230" i="5"/>
  <c r="D231" i="5"/>
  <c r="C234" i="5"/>
  <c r="D235" i="5"/>
  <c r="C238" i="5"/>
  <c r="D239" i="5"/>
  <c r="C242" i="5"/>
  <c r="D243" i="5"/>
  <c r="C246" i="5"/>
  <c r="D247" i="5"/>
  <c r="C250" i="5"/>
  <c r="D251" i="5"/>
  <c r="C254" i="5"/>
  <c r="D255" i="5"/>
  <c r="C258" i="5"/>
  <c r="D259" i="5"/>
  <c r="C262" i="5"/>
  <c r="D263" i="5"/>
  <c r="C266" i="5"/>
  <c r="D267" i="5"/>
  <c r="C270" i="5"/>
  <c r="D271" i="5"/>
  <c r="C274" i="5"/>
  <c r="D275" i="5"/>
  <c r="C278" i="5"/>
  <c r="D279" i="5"/>
  <c r="C282" i="5"/>
  <c r="D283" i="5"/>
  <c r="C286" i="5"/>
  <c r="D287" i="5"/>
  <c r="C290" i="5"/>
  <c r="D291" i="5"/>
  <c r="C294" i="5"/>
  <c r="D295" i="5"/>
  <c r="C298" i="5"/>
  <c r="D299" i="5"/>
  <c r="D202" i="5"/>
  <c r="C205" i="5"/>
  <c r="D206" i="5"/>
  <c r="C209" i="5"/>
  <c r="D210" i="5"/>
  <c r="C213" i="5"/>
  <c r="D214" i="5"/>
  <c r="C217" i="5"/>
  <c r="D218" i="5"/>
  <c r="C221" i="5"/>
  <c r="D222" i="5"/>
  <c r="C225" i="5"/>
  <c r="D226" i="5"/>
  <c r="C229" i="5"/>
  <c r="D230" i="5"/>
  <c r="C233" i="5"/>
  <c r="D234" i="5"/>
  <c r="C237" i="5"/>
  <c r="D238" i="5"/>
  <c r="C241" i="5"/>
  <c r="D242" i="5"/>
  <c r="C245" i="5"/>
  <c r="D246" i="5"/>
  <c r="C249" i="5"/>
  <c r="D250" i="5"/>
  <c r="C253" i="5"/>
  <c r="D254" i="5"/>
  <c r="C257" i="5"/>
  <c r="D258" i="5"/>
  <c r="C261" i="5"/>
  <c r="D262" i="5"/>
  <c r="C265" i="5"/>
  <c r="D266" i="5"/>
  <c r="C269" i="5"/>
  <c r="D270" i="5"/>
  <c r="C273" i="5"/>
  <c r="D274" i="5"/>
  <c r="C277" i="5"/>
  <c r="D278" i="5"/>
  <c r="C281" i="5"/>
  <c r="D282" i="5"/>
  <c r="C285" i="5"/>
  <c r="D286" i="5"/>
  <c r="C289" i="5"/>
  <c r="D290" i="5"/>
  <c r="C293" i="5"/>
  <c r="D294" i="5"/>
  <c r="C297" i="5"/>
  <c r="D298" i="5"/>
  <c r="C301" i="5"/>
  <c r="C204" i="5"/>
  <c r="D205" i="5"/>
  <c r="C208" i="5"/>
  <c r="D209" i="5"/>
  <c r="C212" i="5"/>
  <c r="D213" i="5"/>
  <c r="C216" i="5"/>
  <c r="D217" i="5"/>
  <c r="C220" i="5"/>
  <c r="D221" i="5"/>
  <c r="C224" i="5"/>
  <c r="D225" i="5"/>
  <c r="C228" i="5"/>
  <c r="D229" i="5"/>
  <c r="C232" i="5"/>
  <c r="D233" i="5"/>
  <c r="C236" i="5"/>
  <c r="D237" i="5"/>
  <c r="C240" i="5"/>
  <c r="D241" i="5"/>
  <c r="C244" i="5"/>
  <c r="D245" i="5"/>
  <c r="C248" i="5"/>
  <c r="D249" i="5"/>
  <c r="C252" i="5"/>
  <c r="D253" i="5"/>
  <c r="C256" i="5"/>
  <c r="D257" i="5"/>
  <c r="C260" i="5"/>
  <c r="D261" i="5"/>
  <c r="C264" i="5"/>
  <c r="D265" i="5"/>
  <c r="C268" i="5"/>
  <c r="D269" i="5"/>
  <c r="C272" i="5"/>
  <c r="D273" i="5"/>
  <c r="C276" i="5"/>
  <c r="D277" i="5"/>
  <c r="C280" i="5"/>
  <c r="D281" i="5"/>
  <c r="C284" i="5"/>
  <c r="D285" i="5"/>
  <c r="C288" i="5"/>
  <c r="D289" i="5"/>
  <c r="C292" i="5"/>
  <c r="D293" i="5"/>
  <c r="C296" i="5"/>
  <c r="D297" i="5"/>
  <c r="C300" i="5"/>
  <c r="D301" i="5"/>
  <c r="D104" i="5"/>
  <c r="D108" i="5"/>
  <c r="D112" i="5"/>
  <c r="D120" i="5"/>
  <c r="D124" i="5"/>
  <c r="D128" i="5"/>
  <c r="D132" i="5"/>
  <c r="D136" i="5"/>
  <c r="C139" i="5"/>
  <c r="C143" i="5"/>
  <c r="C147" i="5"/>
  <c r="C155" i="5"/>
  <c r="C159" i="5"/>
  <c r="C163" i="5"/>
  <c r="C167" i="5"/>
  <c r="C171" i="5"/>
  <c r="C175" i="5"/>
  <c r="D180" i="5"/>
  <c r="C183" i="5"/>
  <c r="D184" i="5"/>
  <c r="C187" i="5"/>
  <c r="D192" i="5"/>
  <c r="D196" i="5"/>
  <c r="C199" i="5"/>
  <c r="C102" i="5"/>
  <c r="D103" i="5"/>
  <c r="C106" i="5"/>
  <c r="D107" i="5"/>
  <c r="C110" i="5"/>
  <c r="D111" i="5"/>
  <c r="C114" i="5"/>
  <c r="D115" i="5"/>
  <c r="C118" i="5"/>
  <c r="D119" i="5"/>
  <c r="C122" i="5"/>
  <c r="D123" i="5"/>
  <c r="C126" i="5"/>
  <c r="D127" i="5"/>
  <c r="C130" i="5"/>
  <c r="D131" i="5"/>
  <c r="C134" i="5"/>
  <c r="D135" i="5"/>
  <c r="C138" i="5"/>
  <c r="D139" i="5"/>
  <c r="C142" i="5"/>
  <c r="D143" i="5"/>
  <c r="C146" i="5"/>
  <c r="D147" i="5"/>
  <c r="C150" i="5"/>
  <c r="D151" i="5"/>
  <c r="C154" i="5"/>
  <c r="D155" i="5"/>
  <c r="C158" i="5"/>
  <c r="D159" i="5"/>
  <c r="C162" i="5"/>
  <c r="D163" i="5"/>
  <c r="C166" i="5"/>
  <c r="D167" i="5"/>
  <c r="C170" i="5"/>
  <c r="D171" i="5"/>
  <c r="C174" i="5"/>
  <c r="D175" i="5"/>
  <c r="C178" i="5"/>
  <c r="D179" i="5"/>
  <c r="C182" i="5"/>
  <c r="D183" i="5"/>
  <c r="C186" i="5"/>
  <c r="D187" i="5"/>
  <c r="C190" i="5"/>
  <c r="D191" i="5"/>
  <c r="C194" i="5"/>
  <c r="D195" i="5"/>
  <c r="C198" i="5"/>
  <c r="D199" i="5"/>
  <c r="C103" i="5"/>
  <c r="C107" i="5"/>
  <c r="E107" i="5" s="1"/>
  <c r="C111" i="5"/>
  <c r="D116" i="5"/>
  <c r="C131" i="5"/>
  <c r="C135" i="5"/>
  <c r="D140" i="5"/>
  <c r="D144" i="5"/>
  <c r="D148" i="5"/>
  <c r="D152" i="5"/>
  <c r="D156" i="5"/>
  <c r="D160" i="5"/>
  <c r="D164" i="5"/>
  <c r="D168" i="5"/>
  <c r="D172" i="5"/>
  <c r="D176" i="5"/>
  <c r="C179" i="5"/>
  <c r="D188" i="5"/>
  <c r="C191" i="5"/>
  <c r="C195" i="5"/>
  <c r="D200" i="5"/>
  <c r="D102" i="5"/>
  <c r="C105" i="5"/>
  <c r="D106" i="5"/>
  <c r="C109" i="5"/>
  <c r="D110" i="5"/>
  <c r="C113" i="5"/>
  <c r="D114" i="5"/>
  <c r="C117" i="5"/>
  <c r="D118" i="5"/>
  <c r="C121" i="5"/>
  <c r="D122" i="5"/>
  <c r="C125" i="5"/>
  <c r="D126" i="5"/>
  <c r="C129" i="5"/>
  <c r="D130" i="5"/>
  <c r="C133" i="5"/>
  <c r="D134" i="5"/>
  <c r="C137" i="5"/>
  <c r="D138" i="5"/>
  <c r="C141" i="5"/>
  <c r="D142" i="5"/>
  <c r="C145" i="5"/>
  <c r="D146" i="5"/>
  <c r="C149" i="5"/>
  <c r="D150" i="5"/>
  <c r="C153" i="5"/>
  <c r="D154" i="5"/>
  <c r="C157" i="5"/>
  <c r="D158" i="5"/>
  <c r="C161" i="5"/>
  <c r="D162" i="5"/>
  <c r="C165" i="5"/>
  <c r="D166" i="5"/>
  <c r="C169" i="5"/>
  <c r="D170" i="5"/>
  <c r="C173" i="5"/>
  <c r="D174" i="5"/>
  <c r="C177" i="5"/>
  <c r="D178" i="5"/>
  <c r="C181" i="5"/>
  <c r="D182" i="5"/>
  <c r="C185" i="5"/>
  <c r="D186" i="5"/>
  <c r="C189" i="5"/>
  <c r="D190" i="5"/>
  <c r="C193" i="5"/>
  <c r="D194" i="5"/>
  <c r="C197" i="5"/>
  <c r="D198" i="5"/>
  <c r="C201" i="5"/>
  <c r="C115" i="5"/>
  <c r="C119" i="5"/>
  <c r="C123" i="5"/>
  <c r="E123" i="5" s="1"/>
  <c r="C127" i="5"/>
  <c r="C104" i="5"/>
  <c r="D105" i="5"/>
  <c r="C108" i="5"/>
  <c r="D109" i="5"/>
  <c r="C112" i="5"/>
  <c r="D113" i="5"/>
  <c r="C116" i="5"/>
  <c r="D117" i="5"/>
  <c r="C120" i="5"/>
  <c r="D121" i="5"/>
  <c r="C124" i="5"/>
  <c r="D125" i="5"/>
  <c r="C128" i="5"/>
  <c r="E128" i="5" s="1"/>
  <c r="D129" i="5"/>
  <c r="C132" i="5"/>
  <c r="D133" i="5"/>
  <c r="C136" i="5"/>
  <c r="D137" i="5"/>
  <c r="C140" i="5"/>
  <c r="D141" i="5"/>
  <c r="C144" i="5"/>
  <c r="E144" i="5" s="1"/>
  <c r="D145" i="5"/>
  <c r="C148" i="5"/>
  <c r="D149" i="5"/>
  <c r="C152" i="5"/>
  <c r="D153" i="5"/>
  <c r="C156" i="5"/>
  <c r="D157" i="5"/>
  <c r="C160" i="5"/>
  <c r="D161" i="5"/>
  <c r="C164" i="5"/>
  <c r="D165" i="5"/>
  <c r="C168" i="5"/>
  <c r="D169" i="5"/>
  <c r="C172" i="5"/>
  <c r="D173" i="5"/>
  <c r="C176" i="5"/>
  <c r="E176" i="5" s="1"/>
  <c r="D177" i="5"/>
  <c r="C180" i="5"/>
  <c r="D181" i="5"/>
  <c r="C184" i="5"/>
  <c r="D185" i="5"/>
  <c r="C188" i="5"/>
  <c r="E188" i="5" s="1"/>
  <c r="D189" i="5"/>
  <c r="C192" i="5"/>
  <c r="E192" i="5" s="1"/>
  <c r="D193" i="5"/>
  <c r="C196" i="5"/>
  <c r="D197" i="5"/>
  <c r="C200" i="5"/>
  <c r="D201" i="5"/>
  <c r="C75" i="5"/>
  <c r="D76" i="5"/>
  <c r="C79" i="5"/>
  <c r="D80" i="5"/>
  <c r="C83" i="5"/>
  <c r="D84" i="5"/>
  <c r="C87" i="5"/>
  <c r="D88" i="5"/>
  <c r="C91" i="5"/>
  <c r="D92" i="5"/>
  <c r="C95" i="5"/>
  <c r="D96" i="5"/>
  <c r="C99" i="5"/>
  <c r="D100" i="5"/>
  <c r="C74" i="5"/>
  <c r="D75" i="5"/>
  <c r="C78" i="5"/>
  <c r="D79" i="5"/>
  <c r="C82" i="5"/>
  <c r="D83" i="5"/>
  <c r="C86" i="5"/>
  <c r="D87" i="5"/>
  <c r="C90" i="5"/>
  <c r="D91" i="5"/>
  <c r="C94" i="5"/>
  <c r="D95" i="5"/>
  <c r="C98" i="5"/>
  <c r="D99" i="5"/>
  <c r="C73" i="5"/>
  <c r="D74" i="5"/>
  <c r="C77" i="5"/>
  <c r="D78" i="5"/>
  <c r="C81" i="5"/>
  <c r="D82" i="5"/>
  <c r="C85" i="5"/>
  <c r="D86" i="5"/>
  <c r="C89" i="5"/>
  <c r="D90" i="5"/>
  <c r="C93" i="5"/>
  <c r="D94" i="5"/>
  <c r="C97" i="5"/>
  <c r="D98" i="5"/>
  <c r="C101" i="5"/>
  <c r="D73" i="5"/>
  <c r="C76" i="5"/>
  <c r="D77" i="5"/>
  <c r="C80" i="5"/>
  <c r="D81" i="5"/>
  <c r="C84" i="5"/>
  <c r="D85" i="5"/>
  <c r="C88" i="5"/>
  <c r="D89" i="5"/>
  <c r="C92" i="5"/>
  <c r="D93" i="5"/>
  <c r="C96" i="5"/>
  <c r="D97" i="5"/>
  <c r="C100" i="5"/>
  <c r="D101" i="5"/>
  <c r="C72" i="5"/>
  <c r="D72" i="5"/>
  <c r="C53" i="5"/>
  <c r="D54" i="5"/>
  <c r="C57" i="5"/>
  <c r="D62" i="5"/>
  <c r="C65" i="5"/>
  <c r="D66" i="5"/>
  <c r="D70" i="5"/>
  <c r="C52" i="5"/>
  <c r="D53" i="5"/>
  <c r="C56" i="5"/>
  <c r="D57" i="5"/>
  <c r="C60" i="5"/>
  <c r="D61" i="5"/>
  <c r="C64" i="5"/>
  <c r="D65" i="5"/>
  <c r="C68" i="5"/>
  <c r="D69" i="5"/>
  <c r="D58" i="5"/>
  <c r="C61" i="5"/>
  <c r="C69" i="5"/>
  <c r="C51" i="5"/>
  <c r="D52" i="5"/>
  <c r="C55" i="5"/>
  <c r="D56" i="5"/>
  <c r="C59" i="5"/>
  <c r="D60" i="5"/>
  <c r="C63" i="5"/>
  <c r="D64" i="5"/>
  <c r="C67" i="5"/>
  <c r="D68" i="5"/>
  <c r="C71" i="5"/>
  <c r="D51" i="5"/>
  <c r="C54" i="5"/>
  <c r="D55" i="5"/>
  <c r="C58" i="5"/>
  <c r="D59" i="5"/>
  <c r="C62" i="5"/>
  <c r="D63" i="5"/>
  <c r="C66" i="5"/>
  <c r="D67" i="5"/>
  <c r="C70" i="5"/>
  <c r="D71" i="5"/>
  <c r="C24" i="5"/>
  <c r="D25" i="5"/>
  <c r="C28" i="5"/>
  <c r="D29" i="5"/>
  <c r="C32" i="5"/>
  <c r="D33" i="5"/>
  <c r="C36" i="5"/>
  <c r="D37" i="5"/>
  <c r="C40" i="5"/>
  <c r="D41" i="5"/>
  <c r="C44" i="5"/>
  <c r="D45" i="5"/>
  <c r="C48" i="5"/>
  <c r="D49" i="5"/>
  <c r="D24" i="5"/>
  <c r="C27" i="5"/>
  <c r="D28" i="5"/>
  <c r="C31" i="5"/>
  <c r="D32" i="5"/>
  <c r="C35" i="5"/>
  <c r="D36" i="5"/>
  <c r="C39" i="5"/>
  <c r="D40" i="5"/>
  <c r="C43" i="5"/>
  <c r="D44" i="5"/>
  <c r="C47" i="5"/>
  <c r="D48" i="5"/>
  <c r="D14" i="5"/>
  <c r="C26" i="5"/>
  <c r="D27" i="5"/>
  <c r="C30" i="5"/>
  <c r="D31" i="5"/>
  <c r="C34" i="5"/>
  <c r="D35" i="5"/>
  <c r="C38" i="5"/>
  <c r="D39" i="5"/>
  <c r="C42" i="5"/>
  <c r="D43" i="5"/>
  <c r="C46" i="5"/>
  <c r="D47" i="5"/>
  <c r="C50" i="5"/>
  <c r="D10" i="5"/>
  <c r="C25" i="5"/>
  <c r="D26" i="5"/>
  <c r="C29" i="5"/>
  <c r="D30" i="5"/>
  <c r="C33" i="5"/>
  <c r="D34" i="5"/>
  <c r="C37" i="5"/>
  <c r="D38" i="5"/>
  <c r="C41" i="5"/>
  <c r="D42" i="5"/>
  <c r="C45" i="5"/>
  <c r="D46" i="5"/>
  <c r="C49" i="5"/>
  <c r="D50" i="5"/>
  <c r="D22" i="5"/>
  <c r="D18" i="5"/>
  <c r="D6" i="5"/>
  <c r="D21" i="5"/>
  <c r="D17" i="5"/>
  <c r="D13" i="5"/>
  <c r="D9" i="5"/>
  <c r="D5" i="5"/>
  <c r="D20" i="5"/>
  <c r="D16" i="5"/>
  <c r="D12" i="5"/>
  <c r="D8" i="5"/>
  <c r="D4" i="5"/>
  <c r="D23" i="5"/>
  <c r="D19" i="5"/>
  <c r="D15" i="5"/>
  <c r="D11" i="5"/>
  <c r="D7" i="5"/>
  <c r="D3" i="5"/>
  <c r="D2" i="5"/>
  <c r="E2" i="5" s="1"/>
  <c r="C22" i="5"/>
  <c r="E22" i="5" s="1"/>
  <c r="C18" i="5"/>
  <c r="E18" i="5" s="1"/>
  <c r="C14" i="5"/>
  <c r="C10" i="5"/>
  <c r="C21" i="5"/>
  <c r="C17" i="5"/>
  <c r="C13" i="5"/>
  <c r="C9" i="5"/>
  <c r="C20" i="5"/>
  <c r="E20" i="5" s="1"/>
  <c r="C16" i="5"/>
  <c r="E16" i="5" s="1"/>
  <c r="C12" i="5"/>
  <c r="E12" i="5" s="1"/>
  <c r="C8" i="5"/>
  <c r="E8" i="5" s="1"/>
  <c r="C23" i="5"/>
  <c r="C19" i="5"/>
  <c r="C15" i="5"/>
  <c r="C11" i="5"/>
  <c r="C7" i="5"/>
  <c r="C6" i="5"/>
  <c r="C5" i="5"/>
  <c r="C4" i="5"/>
  <c r="C3" i="5"/>
  <c r="A26" i="3"/>
  <c r="F2" i="3"/>
  <c r="R30" i="2"/>
  <c r="R35" i="2"/>
  <c r="R24" i="2"/>
  <c r="R45" i="2"/>
  <c r="R39" i="2"/>
  <c r="R32" i="2"/>
  <c r="R44" i="2"/>
  <c r="R17" i="2"/>
  <c r="B17" i="2" s="1"/>
  <c r="C17" i="2" s="1"/>
  <c r="F17" i="2" s="1"/>
  <c r="R21" i="2"/>
  <c r="R18" i="2"/>
  <c r="R27" i="2"/>
  <c r="R22" i="2"/>
  <c r="R26" i="2"/>
  <c r="R41" i="2"/>
  <c r="R31" i="2"/>
  <c r="R43" i="2"/>
  <c r="R38" i="2"/>
  <c r="R20" i="2"/>
  <c r="R34" i="2"/>
  <c r="R28" i="2"/>
  <c r="R37" i="2"/>
  <c r="R33" i="2"/>
  <c r="R29" i="2"/>
  <c r="R25" i="2"/>
  <c r="R46" i="2"/>
  <c r="R42" i="2"/>
  <c r="R23" i="2"/>
  <c r="R19" i="2"/>
  <c r="B2" i="3"/>
  <c r="E2" i="3" s="1"/>
  <c r="D3" i="1"/>
  <c r="B4" i="1" s="1"/>
  <c r="E4" i="1" s="1"/>
  <c r="F13" i="1" l="1"/>
  <c r="E13" i="1"/>
  <c r="D13" i="1"/>
  <c r="B14" i="1" s="1"/>
  <c r="I2" i="5"/>
  <c r="E17" i="9"/>
  <c r="F17" i="9" s="1"/>
  <c r="H17" i="9"/>
  <c r="E160" i="5"/>
  <c r="E17" i="8"/>
  <c r="E500" i="5"/>
  <c r="E492" i="5"/>
  <c r="E476" i="5"/>
  <c r="E460" i="5"/>
  <c r="E444" i="5"/>
  <c r="E296" i="5"/>
  <c r="E288" i="5"/>
  <c r="E280" i="5"/>
  <c r="E272" i="5"/>
  <c r="E264" i="5"/>
  <c r="E256" i="5"/>
  <c r="E248" i="5"/>
  <c r="E240" i="5"/>
  <c r="E232" i="5"/>
  <c r="E224" i="5"/>
  <c r="E216" i="5"/>
  <c r="E208" i="5"/>
  <c r="E319" i="5"/>
  <c r="E303" i="5"/>
  <c r="E424" i="5"/>
  <c r="E408" i="5"/>
  <c r="E180" i="5"/>
  <c r="E108" i="5"/>
  <c r="E356" i="5"/>
  <c r="E340" i="5"/>
  <c r="E324" i="5"/>
  <c r="E363" i="5"/>
  <c r="E347" i="5"/>
  <c r="E331" i="5"/>
  <c r="E119" i="5"/>
  <c r="E300" i="5"/>
  <c r="E292" i="5"/>
  <c r="E284" i="5"/>
  <c r="E276" i="5"/>
  <c r="E268" i="5"/>
  <c r="E260" i="5"/>
  <c r="E252" i="5"/>
  <c r="E244" i="5"/>
  <c r="E236" i="5"/>
  <c r="E228" i="5"/>
  <c r="E220" i="5"/>
  <c r="E212" i="5"/>
  <c r="E204" i="5"/>
  <c r="E484" i="5"/>
  <c r="E468" i="5"/>
  <c r="E452" i="5"/>
  <c r="E436" i="5"/>
  <c r="E416" i="5"/>
  <c r="E124" i="5"/>
  <c r="E396" i="5"/>
  <c r="E388" i="5"/>
  <c r="E372" i="5"/>
  <c r="E428" i="5"/>
  <c r="E412" i="5"/>
  <c r="E184" i="5"/>
  <c r="E168" i="5"/>
  <c r="E136" i="5"/>
  <c r="E120" i="5"/>
  <c r="E104" i="5"/>
  <c r="E115" i="5"/>
  <c r="E384" i="5"/>
  <c r="E352" i="5"/>
  <c r="E336" i="5"/>
  <c r="E320" i="5"/>
  <c r="E375" i="5"/>
  <c r="E152" i="5"/>
  <c r="E391" i="5"/>
  <c r="E399" i="5"/>
  <c r="E195" i="5"/>
  <c r="E392" i="5"/>
  <c r="E376" i="5"/>
  <c r="E344" i="5"/>
  <c r="E328" i="5"/>
  <c r="E488" i="5"/>
  <c r="E472" i="5"/>
  <c r="E456" i="5"/>
  <c r="E440" i="5"/>
  <c r="E172" i="5"/>
  <c r="E156" i="5"/>
  <c r="E140" i="5"/>
  <c r="E100" i="5"/>
  <c r="E92" i="5"/>
  <c r="E84" i="5"/>
  <c r="E76" i="5"/>
  <c r="E21" i="5"/>
  <c r="E45" i="5"/>
  <c r="E37" i="5"/>
  <c r="E29" i="5"/>
  <c r="E50" i="5"/>
  <c r="E42" i="5"/>
  <c r="E34" i="5"/>
  <c r="E66" i="5"/>
  <c r="E58" i="5"/>
  <c r="E312" i="5"/>
  <c r="E26" i="5"/>
  <c r="E71" i="5"/>
  <c r="E63" i="5"/>
  <c r="E55" i="5"/>
  <c r="E101" i="5"/>
  <c r="E93" i="5"/>
  <c r="E85" i="5"/>
  <c r="E77" i="5"/>
  <c r="E98" i="5"/>
  <c r="E90" i="5"/>
  <c r="E82" i="5"/>
  <c r="E74" i="5"/>
  <c r="E95" i="5"/>
  <c r="E87" i="5"/>
  <c r="E79" i="5"/>
  <c r="E7" i="5"/>
  <c r="E48" i="5"/>
  <c r="E32" i="5"/>
  <c r="E96" i="5"/>
  <c r="E80" i="5"/>
  <c r="E9" i="5"/>
  <c r="E10" i="5"/>
  <c r="E49" i="5"/>
  <c r="E41" i="5"/>
  <c r="E33" i="5"/>
  <c r="E25" i="5"/>
  <c r="E62" i="5"/>
  <c r="E196" i="5"/>
  <c r="E164" i="5"/>
  <c r="E148" i="5"/>
  <c r="E132" i="5"/>
  <c r="E380" i="5"/>
  <c r="E308" i="5"/>
  <c r="E3" i="5"/>
  <c r="E23" i="5"/>
  <c r="E40" i="5"/>
  <c r="E24" i="5"/>
  <c r="E61" i="5"/>
  <c r="E72" i="5"/>
  <c r="E88" i="5"/>
  <c r="E200" i="5"/>
  <c r="E112" i="5"/>
  <c r="E360" i="5"/>
  <c r="E495" i="5"/>
  <c r="E479" i="5"/>
  <c r="E463" i="5"/>
  <c r="E447" i="5"/>
  <c r="E431" i="5"/>
  <c r="E418" i="5"/>
  <c r="E5" i="5"/>
  <c r="E497" i="5"/>
  <c r="E489" i="5"/>
  <c r="E481" i="5"/>
  <c r="E473" i="5"/>
  <c r="E465" i="5"/>
  <c r="E457" i="5"/>
  <c r="E449" i="5"/>
  <c r="E441" i="5"/>
  <c r="E433" i="5"/>
  <c r="E425" i="5"/>
  <c r="E434" i="5"/>
  <c r="E442" i="5"/>
  <c r="E450" i="5"/>
  <c r="E458" i="5"/>
  <c r="E466" i="5"/>
  <c r="E474" i="5"/>
  <c r="E482" i="5"/>
  <c r="E490" i="5"/>
  <c r="E498" i="5"/>
  <c r="E427" i="5"/>
  <c r="E491" i="5"/>
  <c r="E475" i="5"/>
  <c r="E459" i="5"/>
  <c r="E443" i="5"/>
  <c r="E430" i="5"/>
  <c r="E15" i="5"/>
  <c r="E14" i="5"/>
  <c r="E54" i="5"/>
  <c r="E6" i="5"/>
  <c r="E19" i="5"/>
  <c r="E69" i="5"/>
  <c r="E179" i="5"/>
  <c r="E131" i="5"/>
  <c r="E487" i="5"/>
  <c r="E471" i="5"/>
  <c r="E455" i="5"/>
  <c r="E439" i="5"/>
  <c r="E423" i="5"/>
  <c r="E426" i="5"/>
  <c r="E163" i="5"/>
  <c r="E301" i="5"/>
  <c r="E293" i="5"/>
  <c r="E285" i="5"/>
  <c r="E277" i="5"/>
  <c r="E269" i="5"/>
  <c r="E261" i="5"/>
  <c r="E253" i="5"/>
  <c r="E245" i="5"/>
  <c r="E237" i="5"/>
  <c r="E229" i="5"/>
  <c r="E221" i="5"/>
  <c r="E213" i="5"/>
  <c r="E205" i="5"/>
  <c r="E501" i="5"/>
  <c r="E493" i="5"/>
  <c r="E485" i="5"/>
  <c r="E477" i="5"/>
  <c r="E469" i="5"/>
  <c r="E461" i="5"/>
  <c r="E453" i="5"/>
  <c r="E445" i="5"/>
  <c r="E437" i="5"/>
  <c r="E429" i="5"/>
  <c r="E421" i="5"/>
  <c r="E438" i="5"/>
  <c r="E446" i="5"/>
  <c r="E454" i="5"/>
  <c r="E462" i="5"/>
  <c r="E470" i="5"/>
  <c r="E478" i="5"/>
  <c r="E486" i="5"/>
  <c r="E494" i="5"/>
  <c r="E419" i="5"/>
  <c r="E499" i="5"/>
  <c r="E483" i="5"/>
  <c r="E467" i="5"/>
  <c r="E451" i="5"/>
  <c r="E435" i="5"/>
  <c r="E422" i="5"/>
  <c r="E4" i="5"/>
  <c r="E11" i="5"/>
  <c r="E43" i="5"/>
  <c r="E35" i="5"/>
  <c r="E27" i="5"/>
  <c r="E64" i="5"/>
  <c r="E13" i="5"/>
  <c r="E46" i="5"/>
  <c r="E38" i="5"/>
  <c r="E30" i="5"/>
  <c r="E44" i="5"/>
  <c r="E36" i="5"/>
  <c r="E28" i="5"/>
  <c r="E70" i="5"/>
  <c r="E67" i="5"/>
  <c r="E59" i="5"/>
  <c r="E51" i="5"/>
  <c r="E57" i="5"/>
  <c r="E17" i="5"/>
  <c r="E47" i="5"/>
  <c r="E39" i="5"/>
  <c r="E31" i="5"/>
  <c r="E68" i="5"/>
  <c r="E60" i="5"/>
  <c r="E143" i="5"/>
  <c r="E387" i="5"/>
  <c r="E371" i="5"/>
  <c r="E323" i="5"/>
  <c r="E311" i="5"/>
  <c r="E413" i="5"/>
  <c r="E405" i="5"/>
  <c r="E403" i="5"/>
  <c r="E406" i="5"/>
  <c r="E56" i="5"/>
  <c r="E127" i="5"/>
  <c r="E201" i="5"/>
  <c r="E193" i="5"/>
  <c r="E185" i="5"/>
  <c r="E177" i="5"/>
  <c r="E169" i="5"/>
  <c r="E161" i="5"/>
  <c r="E153" i="5"/>
  <c r="E145" i="5"/>
  <c r="E137" i="5"/>
  <c r="E129" i="5"/>
  <c r="E121" i="5"/>
  <c r="E113" i="5"/>
  <c r="E105" i="5"/>
  <c r="E191" i="5"/>
  <c r="E111" i="5"/>
  <c r="E198" i="5"/>
  <c r="E190" i="5"/>
  <c r="E182" i="5"/>
  <c r="E174" i="5"/>
  <c r="E166" i="5"/>
  <c r="E158" i="5"/>
  <c r="E150" i="5"/>
  <c r="E142" i="5"/>
  <c r="E134" i="5"/>
  <c r="E126" i="5"/>
  <c r="E118" i="5"/>
  <c r="E110" i="5"/>
  <c r="E102" i="5"/>
  <c r="E187" i="5"/>
  <c r="E175" i="5"/>
  <c r="E159" i="5"/>
  <c r="E139" i="5"/>
  <c r="E294" i="5"/>
  <c r="E286" i="5"/>
  <c r="E278" i="5"/>
  <c r="E270" i="5"/>
  <c r="E262" i="5"/>
  <c r="E254" i="5"/>
  <c r="E246" i="5"/>
  <c r="E238" i="5"/>
  <c r="E230" i="5"/>
  <c r="E222" i="5"/>
  <c r="E214" i="5"/>
  <c r="E206" i="5"/>
  <c r="E299" i="5"/>
  <c r="E291" i="5"/>
  <c r="E283" i="5"/>
  <c r="E275" i="5"/>
  <c r="E267" i="5"/>
  <c r="E259" i="5"/>
  <c r="E251" i="5"/>
  <c r="E243" i="5"/>
  <c r="E235" i="5"/>
  <c r="E227" i="5"/>
  <c r="E219" i="5"/>
  <c r="E211" i="5"/>
  <c r="E203" i="5"/>
  <c r="E401" i="5"/>
  <c r="E393" i="5"/>
  <c r="E385" i="5"/>
  <c r="E377" i="5"/>
  <c r="E369" i="5"/>
  <c r="E361" i="5"/>
  <c r="E353" i="5"/>
  <c r="E345" i="5"/>
  <c r="E337" i="5"/>
  <c r="E329" i="5"/>
  <c r="E321" i="5"/>
  <c r="E313" i="5"/>
  <c r="E305" i="5"/>
  <c r="E394" i="5"/>
  <c r="E386" i="5"/>
  <c r="E378" i="5"/>
  <c r="E370" i="5"/>
  <c r="E362" i="5"/>
  <c r="E354" i="5"/>
  <c r="E346" i="5"/>
  <c r="E338" i="5"/>
  <c r="E330" i="5"/>
  <c r="E322" i="5"/>
  <c r="E314" i="5"/>
  <c r="E306" i="5"/>
  <c r="E367" i="5"/>
  <c r="E351" i="5"/>
  <c r="E335" i="5"/>
  <c r="E307" i="5"/>
  <c r="E415" i="5"/>
  <c r="E402" i="5"/>
  <c r="E65" i="5"/>
  <c r="E53" i="5"/>
  <c r="E97" i="5"/>
  <c r="E89" i="5"/>
  <c r="E81" i="5"/>
  <c r="E73" i="5"/>
  <c r="E94" i="5"/>
  <c r="E86" i="5"/>
  <c r="E78" i="5"/>
  <c r="E99" i="5"/>
  <c r="E91" i="5"/>
  <c r="E83" i="5"/>
  <c r="E75" i="5"/>
  <c r="E116" i="5"/>
  <c r="E135" i="5"/>
  <c r="E199" i="5"/>
  <c r="E171" i="5"/>
  <c r="E155" i="5"/>
  <c r="E297" i="5"/>
  <c r="E289" i="5"/>
  <c r="E281" i="5"/>
  <c r="E273" i="5"/>
  <c r="E265" i="5"/>
  <c r="E257" i="5"/>
  <c r="E249" i="5"/>
  <c r="E241" i="5"/>
  <c r="E233" i="5"/>
  <c r="E225" i="5"/>
  <c r="E217" i="5"/>
  <c r="E209" i="5"/>
  <c r="E151" i="5"/>
  <c r="E395" i="5"/>
  <c r="E379" i="5"/>
  <c r="E417" i="5"/>
  <c r="E409" i="5"/>
  <c r="E411" i="5"/>
  <c r="E414" i="5"/>
  <c r="E52" i="5"/>
  <c r="E197" i="5"/>
  <c r="E189" i="5"/>
  <c r="E181" i="5"/>
  <c r="E173" i="5"/>
  <c r="E165" i="5"/>
  <c r="E157" i="5"/>
  <c r="E149" i="5"/>
  <c r="E141" i="5"/>
  <c r="E133" i="5"/>
  <c r="E125" i="5"/>
  <c r="E117" i="5"/>
  <c r="E109" i="5"/>
  <c r="E103" i="5"/>
  <c r="E194" i="5"/>
  <c r="E186" i="5"/>
  <c r="E178" i="5"/>
  <c r="E170" i="5"/>
  <c r="E162" i="5"/>
  <c r="E154" i="5"/>
  <c r="E146" i="5"/>
  <c r="E138" i="5"/>
  <c r="E130" i="5"/>
  <c r="E122" i="5"/>
  <c r="E114" i="5"/>
  <c r="E106" i="5"/>
  <c r="E183" i="5"/>
  <c r="E167" i="5"/>
  <c r="E147" i="5"/>
  <c r="E298" i="5"/>
  <c r="E290" i="5"/>
  <c r="E282" i="5"/>
  <c r="E274" i="5"/>
  <c r="E266" i="5"/>
  <c r="E258" i="5"/>
  <c r="E250" i="5"/>
  <c r="E242" i="5"/>
  <c r="E234" i="5"/>
  <c r="E226" i="5"/>
  <c r="E218" i="5"/>
  <c r="E210" i="5"/>
  <c r="E202" i="5"/>
  <c r="E295" i="5"/>
  <c r="E287" i="5"/>
  <c r="E279" i="5"/>
  <c r="E271" i="5"/>
  <c r="E263" i="5"/>
  <c r="E255" i="5"/>
  <c r="E247" i="5"/>
  <c r="E239" i="5"/>
  <c r="E231" i="5"/>
  <c r="E223" i="5"/>
  <c r="E215" i="5"/>
  <c r="E207" i="5"/>
  <c r="E397" i="5"/>
  <c r="E389" i="5"/>
  <c r="E381" i="5"/>
  <c r="E373" i="5"/>
  <c r="E365" i="5"/>
  <c r="E357" i="5"/>
  <c r="E349" i="5"/>
  <c r="E341" i="5"/>
  <c r="E333" i="5"/>
  <c r="E325" i="5"/>
  <c r="E317" i="5"/>
  <c r="E309" i="5"/>
  <c r="E398" i="5"/>
  <c r="E390" i="5"/>
  <c r="E382" i="5"/>
  <c r="E374" i="5"/>
  <c r="E366" i="5"/>
  <c r="E358" i="5"/>
  <c r="E350" i="5"/>
  <c r="E342" i="5"/>
  <c r="E334" i="5"/>
  <c r="E326" i="5"/>
  <c r="E318" i="5"/>
  <c r="E310" i="5"/>
  <c r="E302" i="5"/>
  <c r="E359" i="5"/>
  <c r="E343" i="5"/>
  <c r="E327" i="5"/>
  <c r="E315" i="5"/>
  <c r="E407" i="5"/>
  <c r="E410" i="5"/>
  <c r="G17" i="2"/>
  <c r="A27" i="3"/>
  <c r="B18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D2" i="3"/>
  <c r="B3" i="3" s="1"/>
  <c r="D3" i="3" s="1"/>
  <c r="B4" i="3" s="1"/>
  <c r="E17" i="2"/>
  <c r="F4" i="1"/>
  <c r="D4" i="1"/>
  <c r="B5" i="1" s="1"/>
  <c r="D5" i="1" s="1"/>
  <c r="B6" i="1" s="1"/>
  <c r="F14" i="1" l="1"/>
  <c r="E14" i="1"/>
  <c r="D14" i="1"/>
  <c r="F17" i="8"/>
  <c r="G17" i="9"/>
  <c r="C18" i="9" s="1"/>
  <c r="E18" i="9" s="1"/>
  <c r="F18" i="9" s="1"/>
  <c r="G17" i="8"/>
  <c r="E5" i="1"/>
  <c r="C18" i="2"/>
  <c r="G18" i="2" s="1"/>
  <c r="A28" i="3"/>
  <c r="F3" i="3"/>
  <c r="E3" i="3"/>
  <c r="F4" i="3"/>
  <c r="E4" i="3"/>
  <c r="D4" i="3"/>
  <c r="B5" i="3" s="1"/>
  <c r="B41" i="2"/>
  <c r="F5" i="1"/>
  <c r="F6" i="1"/>
  <c r="E6" i="1"/>
  <c r="D6" i="1"/>
  <c r="H18" i="9" l="1"/>
  <c r="G18" i="9"/>
  <c r="C19" i="9" s="1"/>
  <c r="E19" i="9" s="1"/>
  <c r="G19" i="9" s="1"/>
  <c r="C20" i="9" s="1"/>
  <c r="C18" i="8"/>
  <c r="H18" i="8" s="1"/>
  <c r="E18" i="2"/>
  <c r="C19" i="2" s="1"/>
  <c r="G19" i="2" s="1"/>
  <c r="F18" i="2"/>
  <c r="A29" i="3"/>
  <c r="D5" i="3"/>
  <c r="B6" i="3" s="1"/>
  <c r="E5" i="3"/>
  <c r="F5" i="3"/>
  <c r="B42" i="2"/>
  <c r="H19" i="9" l="1"/>
  <c r="F19" i="9"/>
  <c r="E20" i="9"/>
  <c r="H20" i="9"/>
  <c r="E18" i="8"/>
  <c r="F19" i="2"/>
  <c r="E19" i="2"/>
  <c r="C20" i="2" s="1"/>
  <c r="G20" i="2" s="1"/>
  <c r="A30" i="3"/>
  <c r="F6" i="3"/>
  <c r="E6" i="3"/>
  <c r="D6" i="3"/>
  <c r="B7" i="3" s="1"/>
  <c r="B43" i="2"/>
  <c r="F18" i="8" l="1"/>
  <c r="F20" i="9"/>
  <c r="G20" i="9"/>
  <c r="C21" i="9" s="1"/>
  <c r="G18" i="8"/>
  <c r="C19" i="8" s="1"/>
  <c r="H19" i="8" s="1"/>
  <c r="E20" i="2"/>
  <c r="C21" i="2" s="1"/>
  <c r="G21" i="2" s="1"/>
  <c r="F20" i="2"/>
  <c r="A31" i="3"/>
  <c r="A32" i="3" s="1"/>
  <c r="D7" i="3"/>
  <c r="B8" i="3" s="1"/>
  <c r="F7" i="3"/>
  <c r="E7" i="3"/>
  <c r="B44" i="2"/>
  <c r="E21" i="9" l="1"/>
  <c r="F21" i="9" s="1"/>
  <c r="H21" i="9"/>
  <c r="E19" i="8"/>
  <c r="F21" i="2"/>
  <c r="E21" i="2"/>
  <c r="C22" i="2" s="1"/>
  <c r="F22" i="2" s="1"/>
  <c r="A33" i="3"/>
  <c r="F8" i="3"/>
  <c r="E8" i="3"/>
  <c r="D8" i="3"/>
  <c r="B9" i="3" s="1"/>
  <c r="B45" i="2"/>
  <c r="G19" i="8" l="1"/>
  <c r="C20" i="8" s="1"/>
  <c r="H20" i="8" s="1"/>
  <c r="G21" i="9"/>
  <c r="C22" i="9" s="1"/>
  <c r="F19" i="8"/>
  <c r="G22" i="2"/>
  <c r="E22" i="2"/>
  <c r="C23" i="2" s="1"/>
  <c r="G23" i="2" s="1"/>
  <c r="A34" i="3"/>
  <c r="D9" i="3"/>
  <c r="B10" i="3" s="1"/>
  <c r="E9" i="3"/>
  <c r="F9" i="3"/>
  <c r="B46" i="2"/>
  <c r="B47" i="2" s="1"/>
  <c r="E20" i="8" l="1"/>
  <c r="G20" i="8" s="1"/>
  <c r="C21" i="8" s="1"/>
  <c r="H21" i="8" s="1"/>
  <c r="E22" i="9"/>
  <c r="F22" i="9" s="1"/>
  <c r="H22" i="9"/>
  <c r="F23" i="2"/>
  <c r="E23" i="2"/>
  <c r="C24" i="2" s="1"/>
  <c r="F24" i="2" s="1"/>
  <c r="B48" i="2"/>
  <c r="A35" i="3"/>
  <c r="F10" i="3"/>
  <c r="E10" i="3"/>
  <c r="D10" i="3"/>
  <c r="B11" i="3" s="1"/>
  <c r="F20" i="8" l="1"/>
  <c r="G22" i="9"/>
  <c r="C23" i="9" s="1"/>
  <c r="E21" i="8"/>
  <c r="E24" i="2"/>
  <c r="C25" i="2" s="1"/>
  <c r="E25" i="2" s="1"/>
  <c r="C26" i="2" s="1"/>
  <c r="E26" i="2" s="1"/>
  <c r="C27" i="2" s="1"/>
  <c r="G24" i="2"/>
  <c r="B49" i="2"/>
  <c r="A36" i="3"/>
  <c r="D11" i="3"/>
  <c r="B12" i="3" s="1"/>
  <c r="E11" i="3"/>
  <c r="F11" i="3"/>
  <c r="G21" i="8" l="1"/>
  <c r="C22" i="8" s="1"/>
  <c r="H22" i="8" s="1"/>
  <c r="E23" i="9"/>
  <c r="F23" i="9" s="1"/>
  <c r="H23" i="9"/>
  <c r="F21" i="8"/>
  <c r="G25" i="2"/>
  <c r="F25" i="2"/>
  <c r="G26" i="2"/>
  <c r="F26" i="2"/>
  <c r="E27" i="2"/>
  <c r="C28" i="2" s="1"/>
  <c r="G27" i="2"/>
  <c r="B50" i="2"/>
  <c r="A37" i="3"/>
  <c r="F12" i="3"/>
  <c r="E12" i="3"/>
  <c r="D12" i="3"/>
  <c r="B13" i="3" s="1"/>
  <c r="F27" i="2"/>
  <c r="E22" i="8" l="1"/>
  <c r="G22" i="8" s="1"/>
  <c r="C23" i="8" s="1"/>
  <c r="H23" i="8" s="1"/>
  <c r="G23" i="9"/>
  <c r="C24" i="9" s="1"/>
  <c r="H24" i="9" s="1"/>
  <c r="B51" i="2"/>
  <c r="A38" i="3"/>
  <c r="D13" i="3"/>
  <c r="B14" i="3" s="1"/>
  <c r="E13" i="3"/>
  <c r="F13" i="3"/>
  <c r="G28" i="2"/>
  <c r="F28" i="2"/>
  <c r="E28" i="2"/>
  <c r="C29" i="2" s="1"/>
  <c r="F22" i="8" l="1"/>
  <c r="E24" i="9"/>
  <c r="G24" i="9" s="1"/>
  <c r="C25" i="9" s="1"/>
  <c r="E25" i="9" s="1"/>
  <c r="G25" i="9" s="1"/>
  <c r="C26" i="9" s="1"/>
  <c r="E23" i="8"/>
  <c r="B52" i="2"/>
  <c r="A39" i="3"/>
  <c r="F14" i="3"/>
  <c r="E14" i="3"/>
  <c r="D14" i="3"/>
  <c r="B15" i="3" s="1"/>
  <c r="E29" i="2"/>
  <c r="C30" i="2" s="1"/>
  <c r="F29" i="2"/>
  <c r="G29" i="2"/>
  <c r="G23" i="8" l="1"/>
  <c r="C24" i="8" s="1"/>
  <c r="H24" i="8" s="1"/>
  <c r="H25" i="9"/>
  <c r="F24" i="9"/>
  <c r="F25" i="9" s="1"/>
  <c r="E26" i="9"/>
  <c r="G26" i="9" s="1"/>
  <c r="C27" i="9" s="1"/>
  <c r="H26" i="9"/>
  <c r="F23" i="8"/>
  <c r="B53" i="2"/>
  <c r="A40" i="3"/>
  <c r="D15" i="3"/>
  <c r="B16" i="3" s="1"/>
  <c r="E15" i="3"/>
  <c r="F15" i="3"/>
  <c r="E30" i="2"/>
  <c r="C31" i="2" s="1"/>
  <c r="G30" i="2"/>
  <c r="F30" i="2"/>
  <c r="E24" i="8" l="1"/>
  <c r="G24" i="8" s="1"/>
  <c r="C25" i="8" s="1"/>
  <c r="H25" i="8" s="1"/>
  <c r="F26" i="9"/>
  <c r="E27" i="9"/>
  <c r="H27" i="9"/>
  <c r="B54" i="2"/>
  <c r="A41" i="3"/>
  <c r="F16" i="3"/>
  <c r="E16" i="3"/>
  <c r="D16" i="3"/>
  <c r="B17" i="3" s="1"/>
  <c r="F31" i="2"/>
  <c r="E31" i="2"/>
  <c r="C32" i="2" s="1"/>
  <c r="G31" i="2"/>
  <c r="F24" i="8" l="1"/>
  <c r="E25" i="8"/>
  <c r="G25" i="8" s="1"/>
  <c r="C26" i="8" s="1"/>
  <c r="F27" i="9"/>
  <c r="G27" i="9"/>
  <c r="C28" i="9" s="1"/>
  <c r="B55" i="2"/>
  <c r="A42" i="3"/>
  <c r="D17" i="3"/>
  <c r="B18" i="3" s="1"/>
  <c r="E17" i="3"/>
  <c r="F17" i="3"/>
  <c r="G32" i="2"/>
  <c r="E32" i="2"/>
  <c r="C33" i="2" s="1"/>
  <c r="F32" i="2"/>
  <c r="F25" i="8" l="1"/>
  <c r="E26" i="8"/>
  <c r="G26" i="8" s="1"/>
  <c r="C27" i="8" s="1"/>
  <c r="H26" i="8"/>
  <c r="E28" i="9"/>
  <c r="F28" i="9" s="1"/>
  <c r="H28" i="9"/>
  <c r="B56" i="2"/>
  <c r="A43" i="3"/>
  <c r="F18" i="3"/>
  <c r="E18" i="3"/>
  <c r="D18" i="3"/>
  <c r="B19" i="3" s="1"/>
  <c r="E33" i="2"/>
  <c r="C34" i="2" s="1"/>
  <c r="F33" i="2"/>
  <c r="G33" i="2"/>
  <c r="F26" i="8" l="1"/>
  <c r="G28" i="9"/>
  <c r="C29" i="9" s="1"/>
  <c r="E27" i="8"/>
  <c r="H27" i="8"/>
  <c r="B57" i="2"/>
  <c r="A44" i="3"/>
  <c r="D19" i="3"/>
  <c r="B20" i="3" s="1"/>
  <c r="E19" i="3"/>
  <c r="F19" i="3"/>
  <c r="E34" i="2"/>
  <c r="C35" i="2" s="1"/>
  <c r="F34" i="2"/>
  <c r="G34" i="2"/>
  <c r="F27" i="8" l="1"/>
  <c r="E29" i="9"/>
  <c r="F29" i="9" s="1"/>
  <c r="H29" i="9"/>
  <c r="G27" i="8"/>
  <c r="C28" i="8" s="1"/>
  <c r="B58" i="2"/>
  <c r="A45" i="3"/>
  <c r="F20" i="3"/>
  <c r="E20" i="3"/>
  <c r="D20" i="3"/>
  <c r="B21" i="3" s="1"/>
  <c r="F35" i="2"/>
  <c r="E35" i="2"/>
  <c r="C36" i="2" s="1"/>
  <c r="G35" i="2"/>
  <c r="G29" i="9" l="1"/>
  <c r="C30" i="9" s="1"/>
  <c r="E28" i="8"/>
  <c r="H28" i="8"/>
  <c r="B59" i="2"/>
  <c r="A46" i="3"/>
  <c r="A47" i="3" s="1"/>
  <c r="D21" i="3"/>
  <c r="B22" i="3" s="1"/>
  <c r="E21" i="3"/>
  <c r="F21" i="3"/>
  <c r="G36" i="2"/>
  <c r="E36" i="2"/>
  <c r="C37" i="2" s="1"/>
  <c r="F36" i="2"/>
  <c r="F28" i="8" l="1"/>
  <c r="E30" i="9"/>
  <c r="F30" i="9" s="1"/>
  <c r="H30" i="9"/>
  <c r="G28" i="8"/>
  <c r="C29" i="8" s="1"/>
  <c r="B60" i="2"/>
  <c r="A48" i="3"/>
  <c r="F22" i="3"/>
  <c r="E22" i="3"/>
  <c r="D22" i="3"/>
  <c r="B23" i="3" s="1"/>
  <c r="G37" i="2"/>
  <c r="E37" i="2"/>
  <c r="C38" i="2" s="1"/>
  <c r="F37" i="2"/>
  <c r="G30" i="9" l="1"/>
  <c r="C31" i="9" s="1"/>
  <c r="E31" i="9" s="1"/>
  <c r="G31" i="9" s="1"/>
  <c r="C32" i="9" s="1"/>
  <c r="E29" i="8"/>
  <c r="H29" i="8"/>
  <c r="B61" i="2"/>
  <c r="A49" i="3"/>
  <c r="D23" i="3"/>
  <c r="B24" i="3" s="1"/>
  <c r="F23" i="3"/>
  <c r="E23" i="3"/>
  <c r="E38" i="2"/>
  <c r="C39" i="2" s="1"/>
  <c r="G38" i="2"/>
  <c r="F38" i="2"/>
  <c r="F29" i="8" l="1"/>
  <c r="H31" i="9"/>
  <c r="E32" i="9"/>
  <c r="G32" i="9" s="1"/>
  <c r="C33" i="9" s="1"/>
  <c r="H32" i="9"/>
  <c r="F31" i="9"/>
  <c r="G29" i="8"/>
  <c r="C30" i="8" s="1"/>
  <c r="E30" i="8" s="1"/>
  <c r="B62" i="2"/>
  <c r="A50" i="3"/>
  <c r="F24" i="3"/>
  <c r="E24" i="3"/>
  <c r="D24" i="3"/>
  <c r="B25" i="3" s="1"/>
  <c r="F39" i="2"/>
  <c r="G39" i="2"/>
  <c r="E39" i="2"/>
  <c r="C40" i="2" s="1"/>
  <c r="G30" i="8" l="1"/>
  <c r="C31" i="8" s="1"/>
  <c r="E31" i="8" s="1"/>
  <c r="H30" i="8"/>
  <c r="E33" i="9"/>
  <c r="G33" i="9" s="1"/>
  <c r="C34" i="9" s="1"/>
  <c r="H33" i="9"/>
  <c r="F32" i="9"/>
  <c r="F30" i="8"/>
  <c r="B63" i="2"/>
  <c r="A51" i="3"/>
  <c r="F25" i="3"/>
  <c r="E25" i="3"/>
  <c r="D25" i="3"/>
  <c r="B26" i="3" s="1"/>
  <c r="F40" i="2"/>
  <c r="G40" i="2"/>
  <c r="E40" i="2"/>
  <c r="C41" i="2" s="1"/>
  <c r="H31" i="8" l="1"/>
  <c r="G31" i="8"/>
  <c r="C32" i="8" s="1"/>
  <c r="H32" i="8" s="1"/>
  <c r="F33" i="9"/>
  <c r="E34" i="9"/>
  <c r="G34" i="9" s="1"/>
  <c r="C35" i="9" s="1"/>
  <c r="H34" i="9"/>
  <c r="F31" i="8"/>
  <c r="B64" i="2"/>
  <c r="A52" i="3"/>
  <c r="D26" i="3"/>
  <c r="B27" i="3" s="1"/>
  <c r="E26" i="3"/>
  <c r="F26" i="3"/>
  <c r="F41" i="2"/>
  <c r="G41" i="2"/>
  <c r="E41" i="2"/>
  <c r="C42" i="2" s="1"/>
  <c r="E32" i="8" l="1"/>
  <c r="G32" i="8" s="1"/>
  <c r="C33" i="8" s="1"/>
  <c r="F34" i="9"/>
  <c r="E35" i="9"/>
  <c r="H35" i="9"/>
  <c r="F32" i="8"/>
  <c r="B65" i="2"/>
  <c r="A53" i="3"/>
  <c r="F27" i="3"/>
  <c r="E27" i="3"/>
  <c r="D27" i="3"/>
  <c r="B28" i="3" s="1"/>
  <c r="F42" i="2"/>
  <c r="G42" i="2"/>
  <c r="E42" i="2"/>
  <c r="C43" i="2" s="1"/>
  <c r="E33" i="8" l="1"/>
  <c r="G33" i="8" s="1"/>
  <c r="C34" i="8" s="1"/>
  <c r="H33" i="8"/>
  <c r="F35" i="9"/>
  <c r="G35" i="9"/>
  <c r="C36" i="9" s="1"/>
  <c r="B66" i="2"/>
  <c r="A54" i="3"/>
  <c r="D28" i="3"/>
  <c r="B29" i="3" s="1"/>
  <c r="F28" i="3"/>
  <c r="E28" i="3"/>
  <c r="F43" i="2"/>
  <c r="G43" i="2"/>
  <c r="E43" i="2"/>
  <c r="C44" i="2" s="1"/>
  <c r="E34" i="8" l="1"/>
  <c r="G34" i="8" s="1"/>
  <c r="C35" i="8" s="1"/>
  <c r="H34" i="8"/>
  <c r="F33" i="8"/>
  <c r="E36" i="9"/>
  <c r="F36" i="9" s="1"/>
  <c r="H36" i="9"/>
  <c r="B67" i="2"/>
  <c r="A55" i="3"/>
  <c r="F29" i="3"/>
  <c r="E29" i="3"/>
  <c r="D29" i="3"/>
  <c r="B30" i="3" s="1"/>
  <c r="F44" i="2"/>
  <c r="G44" i="2"/>
  <c r="E44" i="2"/>
  <c r="C45" i="2" s="1"/>
  <c r="F34" i="8" l="1"/>
  <c r="H35" i="8"/>
  <c r="E35" i="8"/>
  <c r="G35" i="8" s="1"/>
  <c r="C36" i="8" s="1"/>
  <c r="E36" i="8" s="1"/>
  <c r="G36" i="9"/>
  <c r="C37" i="9" s="1"/>
  <c r="B68" i="2"/>
  <c r="A56" i="3"/>
  <c r="D30" i="3"/>
  <c r="B31" i="3" s="1"/>
  <c r="E30" i="3"/>
  <c r="F30" i="3"/>
  <c r="F45" i="2"/>
  <c r="G45" i="2"/>
  <c r="E45" i="2"/>
  <c r="C46" i="2" s="1"/>
  <c r="F35" i="8" l="1"/>
  <c r="F36" i="8" s="1"/>
  <c r="H36" i="8"/>
  <c r="E37" i="9"/>
  <c r="F37" i="9" s="1"/>
  <c r="H37" i="9"/>
  <c r="G36" i="8"/>
  <c r="C37" i="8" s="1"/>
  <c r="B69" i="2"/>
  <c r="A57" i="3"/>
  <c r="F31" i="3"/>
  <c r="E31" i="3"/>
  <c r="D31" i="3"/>
  <c r="B32" i="3" s="1"/>
  <c r="F46" i="2"/>
  <c r="G46" i="2"/>
  <c r="E46" i="2"/>
  <c r="C47" i="2" s="1"/>
  <c r="G37" i="9" l="1"/>
  <c r="C38" i="9" s="1"/>
  <c r="E37" i="8"/>
  <c r="H37" i="8"/>
  <c r="B70" i="2"/>
  <c r="E47" i="2"/>
  <c r="C48" i="2" s="1"/>
  <c r="F47" i="2"/>
  <c r="G47" i="2"/>
  <c r="A58" i="3"/>
  <c r="E32" i="3"/>
  <c r="F32" i="3"/>
  <c r="D32" i="3"/>
  <c r="B33" i="3" s="1"/>
  <c r="F37" i="8" l="1"/>
  <c r="E38" i="9"/>
  <c r="F38" i="9" s="1"/>
  <c r="H38" i="9"/>
  <c r="G37" i="8"/>
  <c r="C38" i="8" s="1"/>
  <c r="E48" i="2"/>
  <c r="C49" i="2" s="1"/>
  <c r="G48" i="2"/>
  <c r="F48" i="2"/>
  <c r="B71" i="2"/>
  <c r="A59" i="3"/>
  <c r="D33" i="3"/>
  <c r="B34" i="3" s="1"/>
  <c r="E33" i="3"/>
  <c r="F33" i="3"/>
  <c r="G38" i="9" l="1"/>
  <c r="C39" i="9" s="1"/>
  <c r="E39" i="9" s="1"/>
  <c r="G39" i="9" s="1"/>
  <c r="C40" i="9" s="1"/>
  <c r="E38" i="8"/>
  <c r="H38" i="8"/>
  <c r="B72" i="2"/>
  <c r="E49" i="2"/>
  <c r="C50" i="2" s="1"/>
  <c r="F49" i="2"/>
  <c r="G49" i="2"/>
  <c r="A60" i="3"/>
  <c r="E34" i="3"/>
  <c r="F34" i="3"/>
  <c r="D34" i="3"/>
  <c r="B35" i="3" s="1"/>
  <c r="F38" i="8" l="1"/>
  <c r="H39" i="9"/>
  <c r="F39" i="9"/>
  <c r="E40" i="9"/>
  <c r="G40" i="9" s="1"/>
  <c r="C41" i="9" s="1"/>
  <c r="H40" i="9"/>
  <c r="G38" i="8"/>
  <c r="C39" i="8" s="1"/>
  <c r="H39" i="8" s="1"/>
  <c r="E50" i="2"/>
  <c r="C51" i="2" s="1"/>
  <c r="G50" i="2"/>
  <c r="F50" i="2"/>
  <c r="B73" i="2"/>
  <c r="A61" i="3"/>
  <c r="D35" i="3"/>
  <c r="B36" i="3" s="1"/>
  <c r="E35" i="3"/>
  <c r="F35" i="3"/>
  <c r="F40" i="9" l="1"/>
  <c r="E39" i="8"/>
  <c r="E41" i="9"/>
  <c r="H41" i="9"/>
  <c r="B74" i="2"/>
  <c r="E51" i="2"/>
  <c r="C52" i="2" s="1"/>
  <c r="F51" i="2"/>
  <c r="G51" i="2"/>
  <c r="A62" i="3"/>
  <c r="E36" i="3"/>
  <c r="F36" i="3"/>
  <c r="D36" i="3"/>
  <c r="B37" i="3" s="1"/>
  <c r="F39" i="8" l="1"/>
  <c r="F41" i="9"/>
  <c r="G39" i="8"/>
  <c r="C40" i="8" s="1"/>
  <c r="E40" i="8" s="1"/>
  <c r="G41" i="9"/>
  <c r="C42" i="9" s="1"/>
  <c r="H42" i="9" s="1"/>
  <c r="E52" i="2"/>
  <c r="C53" i="2" s="1"/>
  <c r="G52" i="2"/>
  <c r="F52" i="2"/>
  <c r="B75" i="2"/>
  <c r="A63" i="3"/>
  <c r="D37" i="3"/>
  <c r="B38" i="3" s="1"/>
  <c r="E37" i="3"/>
  <c r="F37" i="3"/>
  <c r="F40" i="8" l="1"/>
  <c r="H40" i="8"/>
  <c r="E42" i="9"/>
  <c r="F42" i="9" s="1"/>
  <c r="G40" i="8"/>
  <c r="C41" i="8" s="1"/>
  <c r="H41" i="8" s="1"/>
  <c r="B76" i="2"/>
  <c r="E53" i="2"/>
  <c r="C54" i="2" s="1"/>
  <c r="F53" i="2"/>
  <c r="G53" i="2"/>
  <c r="A64" i="3"/>
  <c r="E38" i="3"/>
  <c r="F38" i="3"/>
  <c r="D38" i="3"/>
  <c r="B39" i="3" s="1"/>
  <c r="E41" i="8" l="1"/>
  <c r="G42" i="9"/>
  <c r="C43" i="9" s="1"/>
  <c r="E54" i="2"/>
  <c r="C55" i="2" s="1"/>
  <c r="G54" i="2"/>
  <c r="F54" i="2"/>
  <c r="B77" i="2"/>
  <c r="A65" i="3"/>
  <c r="D39" i="3"/>
  <c r="B40" i="3" s="1"/>
  <c r="E39" i="3"/>
  <c r="F39" i="3"/>
  <c r="F41" i="8" l="1"/>
  <c r="G41" i="8"/>
  <c r="C42" i="8" s="1"/>
  <c r="E42" i="8" s="1"/>
  <c r="E43" i="9"/>
  <c r="F43" i="9" s="1"/>
  <c r="H43" i="9"/>
  <c r="B78" i="2"/>
  <c r="E55" i="2"/>
  <c r="C56" i="2" s="1"/>
  <c r="G55" i="2"/>
  <c r="F55" i="2"/>
  <c r="A66" i="3"/>
  <c r="E40" i="3"/>
  <c r="D40" i="3"/>
  <c r="B41" i="3" s="1"/>
  <c r="F40" i="3"/>
  <c r="F42" i="8" l="1"/>
  <c r="H42" i="8"/>
  <c r="G43" i="9"/>
  <c r="C44" i="9" s="1"/>
  <c r="G42" i="8"/>
  <c r="C43" i="8" s="1"/>
  <c r="E56" i="2"/>
  <c r="C57" i="2" s="1"/>
  <c r="G56" i="2"/>
  <c r="F56" i="2"/>
  <c r="B79" i="2"/>
  <c r="A67" i="3"/>
  <c r="F41" i="3"/>
  <c r="D41" i="3"/>
  <c r="B42" i="3" s="1"/>
  <c r="E41" i="3"/>
  <c r="H44" i="9" l="1"/>
  <c r="E44" i="9"/>
  <c r="E43" i="8"/>
  <c r="H43" i="8"/>
  <c r="B80" i="2"/>
  <c r="E57" i="2"/>
  <c r="C58" i="2" s="1"/>
  <c r="F57" i="2"/>
  <c r="G57" i="2"/>
  <c r="A68" i="3"/>
  <c r="E42" i="3"/>
  <c r="F42" i="3"/>
  <c r="D42" i="3"/>
  <c r="B43" i="3" s="1"/>
  <c r="F43" i="8" l="1"/>
  <c r="G44" i="9"/>
  <c r="C45" i="9" s="1"/>
  <c r="F44" i="9"/>
  <c r="G43" i="8"/>
  <c r="C44" i="8" s="1"/>
  <c r="E58" i="2"/>
  <c r="C59" i="2" s="1"/>
  <c r="G58" i="2"/>
  <c r="F58" i="2"/>
  <c r="B81" i="2"/>
  <c r="A69" i="3"/>
  <c r="D43" i="3"/>
  <c r="B44" i="3" s="1"/>
  <c r="F43" i="3"/>
  <c r="E43" i="3"/>
  <c r="E45" i="9" l="1"/>
  <c r="F45" i="9" s="1"/>
  <c r="H45" i="9"/>
  <c r="E44" i="8"/>
  <c r="H44" i="8"/>
  <c r="B82" i="2"/>
  <c r="E59" i="2"/>
  <c r="C60" i="2" s="1"/>
  <c r="G59" i="2"/>
  <c r="F59" i="2"/>
  <c r="A70" i="3"/>
  <c r="E44" i="3"/>
  <c r="F44" i="3"/>
  <c r="D44" i="3"/>
  <c r="B45" i="3" s="1"/>
  <c r="F44" i="8" l="1"/>
  <c r="G45" i="9"/>
  <c r="C46" i="9" s="1"/>
  <c r="G44" i="8"/>
  <c r="C45" i="8" s="1"/>
  <c r="E60" i="2"/>
  <c r="C61" i="2" s="1"/>
  <c r="G60" i="2"/>
  <c r="F60" i="2"/>
  <c r="B83" i="2"/>
  <c r="A71" i="3"/>
  <c r="D45" i="3"/>
  <c r="B46" i="3" s="1"/>
  <c r="F45" i="3"/>
  <c r="E45" i="3"/>
  <c r="E46" i="9" l="1"/>
  <c r="F46" i="9" s="1"/>
  <c r="H46" i="9"/>
  <c r="E45" i="8"/>
  <c r="H45" i="8"/>
  <c r="B84" i="2"/>
  <c r="E61" i="2"/>
  <c r="C62" i="2" s="1"/>
  <c r="F61" i="2"/>
  <c r="G61" i="2"/>
  <c r="A72" i="3"/>
  <c r="E46" i="3"/>
  <c r="F46" i="3"/>
  <c r="D46" i="3"/>
  <c r="B47" i="3" s="1"/>
  <c r="F45" i="8" l="1"/>
  <c r="G46" i="9"/>
  <c r="C47" i="9" s="1"/>
  <c r="G45" i="8"/>
  <c r="C46" i="8" s="1"/>
  <c r="E62" i="2"/>
  <c r="C63" i="2" s="1"/>
  <c r="G62" i="2"/>
  <c r="F62" i="2"/>
  <c r="B85" i="2"/>
  <c r="A73" i="3"/>
  <c r="E47" i="3"/>
  <c r="F47" i="3"/>
  <c r="D47" i="3"/>
  <c r="B48" i="3" s="1"/>
  <c r="H47" i="9" l="1"/>
  <c r="E47" i="9"/>
  <c r="F47" i="9" s="1"/>
  <c r="E46" i="8"/>
  <c r="H46" i="8"/>
  <c r="B86" i="2"/>
  <c r="E63" i="2"/>
  <c r="C64" i="2" s="1"/>
  <c r="G63" i="2"/>
  <c r="F63" i="2"/>
  <c r="D48" i="3"/>
  <c r="B49" i="3" s="1"/>
  <c r="E48" i="3"/>
  <c r="F48" i="3"/>
  <c r="A74" i="3"/>
  <c r="F46" i="8" l="1"/>
  <c r="G47" i="9"/>
  <c r="C48" i="9" s="1"/>
  <c r="G46" i="8"/>
  <c r="C47" i="8" s="1"/>
  <c r="E64" i="2"/>
  <c r="C65" i="2" s="1"/>
  <c r="G64" i="2"/>
  <c r="F64" i="2"/>
  <c r="B87" i="2"/>
  <c r="A75" i="3"/>
  <c r="E49" i="3"/>
  <c r="F49" i="3"/>
  <c r="D49" i="3"/>
  <c r="B50" i="3" s="1"/>
  <c r="E48" i="9" l="1"/>
  <c r="H48" i="9"/>
  <c r="E47" i="8"/>
  <c r="H47" i="8"/>
  <c r="B88" i="2"/>
  <c r="E65" i="2"/>
  <c r="C66" i="2" s="1"/>
  <c r="F65" i="2"/>
  <c r="G65" i="2"/>
  <c r="D50" i="3"/>
  <c r="B51" i="3" s="1"/>
  <c r="E50" i="3"/>
  <c r="F50" i="3"/>
  <c r="A76" i="3"/>
  <c r="F47" i="8" l="1"/>
  <c r="G48" i="9"/>
  <c r="C49" i="9" s="1"/>
  <c r="F48" i="9"/>
  <c r="G47" i="8"/>
  <c r="C48" i="8" s="1"/>
  <c r="E66" i="2"/>
  <c r="C67" i="2" s="1"/>
  <c r="G66" i="2"/>
  <c r="F66" i="2"/>
  <c r="B89" i="2"/>
  <c r="A77" i="3"/>
  <c r="E51" i="3"/>
  <c r="F51" i="3"/>
  <c r="D51" i="3"/>
  <c r="B52" i="3" s="1"/>
  <c r="E49" i="9" l="1"/>
  <c r="G49" i="9" s="1"/>
  <c r="C50" i="9" s="1"/>
  <c r="H49" i="9"/>
  <c r="E48" i="8"/>
  <c r="H48" i="8"/>
  <c r="B90" i="2"/>
  <c r="E67" i="2"/>
  <c r="C68" i="2" s="1"/>
  <c r="G67" i="2"/>
  <c r="F67" i="2"/>
  <c r="D52" i="3"/>
  <c r="B53" i="3" s="1"/>
  <c r="E52" i="3"/>
  <c r="F52" i="3"/>
  <c r="A78" i="3"/>
  <c r="F48" i="8" l="1"/>
  <c r="F49" i="9"/>
  <c r="H50" i="9"/>
  <c r="E50" i="9"/>
  <c r="G50" i="9" s="1"/>
  <c r="C51" i="9" s="1"/>
  <c r="G48" i="8"/>
  <c r="C49" i="8" s="1"/>
  <c r="E68" i="2"/>
  <c r="C69" i="2" s="1"/>
  <c r="G68" i="2"/>
  <c r="F68" i="2"/>
  <c r="B91" i="2"/>
  <c r="A79" i="3"/>
  <c r="E53" i="3"/>
  <c r="F53" i="3"/>
  <c r="D53" i="3"/>
  <c r="B54" i="3" s="1"/>
  <c r="E51" i="9" l="1"/>
  <c r="G51" i="9" s="1"/>
  <c r="C52" i="9" s="1"/>
  <c r="H51" i="9"/>
  <c r="F50" i="9"/>
  <c r="E49" i="8"/>
  <c r="H49" i="8"/>
  <c r="B92" i="2"/>
  <c r="E69" i="2"/>
  <c r="C70" i="2" s="1"/>
  <c r="F69" i="2"/>
  <c r="G69" i="2"/>
  <c r="D54" i="3"/>
  <c r="B55" i="3" s="1"/>
  <c r="E54" i="3"/>
  <c r="F54" i="3"/>
  <c r="A80" i="3"/>
  <c r="F49" i="8" l="1"/>
  <c r="E52" i="9"/>
  <c r="G52" i="9" s="1"/>
  <c r="C53" i="9" s="1"/>
  <c r="H52" i="9"/>
  <c r="F51" i="9"/>
  <c r="G49" i="8"/>
  <c r="C50" i="8" s="1"/>
  <c r="E70" i="2"/>
  <c r="C71" i="2" s="1"/>
  <c r="G70" i="2"/>
  <c r="F70" i="2"/>
  <c r="B93" i="2"/>
  <c r="A81" i="3"/>
  <c r="A82" i="3" s="1"/>
  <c r="E55" i="3"/>
  <c r="F55" i="3"/>
  <c r="D55" i="3"/>
  <c r="B56" i="3" s="1"/>
  <c r="E53" i="9" l="1"/>
  <c r="G53" i="9" s="1"/>
  <c r="C54" i="9" s="1"/>
  <c r="H53" i="9"/>
  <c r="F52" i="9"/>
  <c r="E50" i="8"/>
  <c r="H50" i="8"/>
  <c r="B94" i="2"/>
  <c r="E71" i="2"/>
  <c r="C72" i="2" s="1"/>
  <c r="G71" i="2"/>
  <c r="F71" i="2"/>
  <c r="A83" i="3"/>
  <c r="D56" i="3"/>
  <c r="B57" i="3" s="1"/>
  <c r="E56" i="3"/>
  <c r="F56" i="3"/>
  <c r="F50" i="8" l="1"/>
  <c r="H54" i="9"/>
  <c r="E54" i="9"/>
  <c r="G54" i="9" s="1"/>
  <c r="C55" i="9" s="1"/>
  <c r="F53" i="9"/>
  <c r="G50" i="8"/>
  <c r="C51" i="8" s="1"/>
  <c r="E72" i="2"/>
  <c r="C73" i="2" s="1"/>
  <c r="G72" i="2"/>
  <c r="F72" i="2"/>
  <c r="B95" i="2"/>
  <c r="A84" i="3"/>
  <c r="E57" i="3"/>
  <c r="F57" i="3"/>
  <c r="D57" i="3"/>
  <c r="B58" i="3" s="1"/>
  <c r="E55" i="9" l="1"/>
  <c r="H55" i="9"/>
  <c r="F54" i="9"/>
  <c r="E51" i="8"/>
  <c r="H51" i="8"/>
  <c r="B96" i="2"/>
  <c r="E73" i="2"/>
  <c r="C74" i="2" s="1"/>
  <c r="F73" i="2"/>
  <c r="G73" i="2"/>
  <c r="A85" i="3"/>
  <c r="D58" i="3"/>
  <c r="B59" i="3" s="1"/>
  <c r="E58" i="3"/>
  <c r="F58" i="3"/>
  <c r="F51" i="8" l="1"/>
  <c r="F55" i="9"/>
  <c r="G51" i="8"/>
  <c r="C52" i="8" s="1"/>
  <c r="H52" i="8" s="1"/>
  <c r="G55" i="9"/>
  <c r="C56" i="9" s="1"/>
  <c r="E74" i="2"/>
  <c r="C75" i="2" s="1"/>
  <c r="G74" i="2"/>
  <c r="F74" i="2"/>
  <c r="B97" i="2"/>
  <c r="A86" i="3"/>
  <c r="E59" i="3"/>
  <c r="F59" i="3"/>
  <c r="D59" i="3"/>
  <c r="B60" i="3" s="1"/>
  <c r="E52" i="8" l="1"/>
  <c r="H56" i="9"/>
  <c r="E56" i="9"/>
  <c r="F56" i="9" s="1"/>
  <c r="B98" i="2"/>
  <c r="E75" i="2"/>
  <c r="C76" i="2" s="1"/>
  <c r="G75" i="2"/>
  <c r="F75" i="2"/>
  <c r="A87" i="3"/>
  <c r="D60" i="3"/>
  <c r="B61" i="3" s="1"/>
  <c r="E60" i="3"/>
  <c r="F60" i="3"/>
  <c r="G52" i="8" l="1"/>
  <c r="C53" i="8" s="1"/>
  <c r="E53" i="8" s="1"/>
  <c r="F52" i="8"/>
  <c r="G56" i="9"/>
  <c r="C57" i="9" s="1"/>
  <c r="E57" i="9" s="1"/>
  <c r="F57" i="9" s="1"/>
  <c r="E76" i="2"/>
  <c r="C77" i="2" s="1"/>
  <c r="G76" i="2"/>
  <c r="F76" i="2"/>
  <c r="B99" i="2"/>
  <c r="A88" i="3"/>
  <c r="E61" i="3"/>
  <c r="F61" i="3"/>
  <c r="D61" i="3"/>
  <c r="B62" i="3" s="1"/>
  <c r="H53" i="8" l="1"/>
  <c r="G53" i="8"/>
  <c r="C54" i="8" s="1"/>
  <c r="F53" i="8"/>
  <c r="H57" i="9"/>
  <c r="G57" i="9"/>
  <c r="C58" i="9" s="1"/>
  <c r="B100" i="2"/>
  <c r="E77" i="2"/>
  <c r="C78" i="2" s="1"/>
  <c r="F77" i="2"/>
  <c r="G77" i="2"/>
  <c r="A89" i="3"/>
  <c r="D62" i="3"/>
  <c r="B63" i="3" s="1"/>
  <c r="E62" i="3"/>
  <c r="F62" i="3"/>
  <c r="E54" i="8" l="1"/>
  <c r="H54" i="8"/>
  <c r="E58" i="9"/>
  <c r="F58" i="9" s="1"/>
  <c r="H58" i="9"/>
  <c r="E78" i="2"/>
  <c r="C79" i="2" s="1"/>
  <c r="G78" i="2"/>
  <c r="F78" i="2"/>
  <c r="B101" i="2"/>
  <c r="A90" i="3"/>
  <c r="E63" i="3"/>
  <c r="F63" i="3"/>
  <c r="D63" i="3"/>
  <c r="B64" i="3" s="1"/>
  <c r="G54" i="8" l="1"/>
  <c r="C55" i="8" s="1"/>
  <c r="F54" i="8"/>
  <c r="G58" i="9"/>
  <c r="C59" i="9" s="1"/>
  <c r="B102" i="2"/>
  <c r="E79" i="2"/>
  <c r="C80" i="2" s="1"/>
  <c r="G79" i="2"/>
  <c r="F79" i="2"/>
  <c r="A91" i="3"/>
  <c r="D64" i="3"/>
  <c r="B65" i="3" s="1"/>
  <c r="E64" i="3"/>
  <c r="F64" i="3"/>
  <c r="H55" i="8" l="1"/>
  <c r="E55" i="8"/>
  <c r="H59" i="9"/>
  <c r="E59" i="9"/>
  <c r="F59" i="9" s="1"/>
  <c r="E80" i="2"/>
  <c r="C81" i="2" s="1"/>
  <c r="G80" i="2"/>
  <c r="F80" i="2"/>
  <c r="B103" i="2"/>
  <c r="A92" i="3"/>
  <c r="E65" i="3"/>
  <c r="F65" i="3"/>
  <c r="D65" i="3"/>
  <c r="B66" i="3" s="1"/>
  <c r="G55" i="8" l="1"/>
  <c r="C56" i="8" s="1"/>
  <c r="F55" i="8"/>
  <c r="G59" i="9"/>
  <c r="C60" i="9" s="1"/>
  <c r="H60" i="9" s="1"/>
  <c r="B104" i="2"/>
  <c r="E81" i="2"/>
  <c r="C82" i="2" s="1"/>
  <c r="F81" i="2"/>
  <c r="G81" i="2"/>
  <c r="A93" i="3"/>
  <c r="D66" i="3"/>
  <c r="B67" i="3" s="1"/>
  <c r="E66" i="3"/>
  <c r="F66" i="3"/>
  <c r="E56" i="8" l="1"/>
  <c r="H56" i="8"/>
  <c r="E60" i="9"/>
  <c r="E82" i="2"/>
  <c r="C83" i="2" s="1"/>
  <c r="G82" i="2"/>
  <c r="F82" i="2"/>
  <c r="B105" i="2"/>
  <c r="A94" i="3"/>
  <c r="E67" i="3"/>
  <c r="F67" i="3"/>
  <c r="D67" i="3"/>
  <c r="B68" i="3" s="1"/>
  <c r="G56" i="8" l="1"/>
  <c r="C57" i="8" s="1"/>
  <c r="F56" i="8"/>
  <c r="F60" i="9"/>
  <c r="G60" i="9"/>
  <c r="C61" i="9" s="1"/>
  <c r="B106" i="2"/>
  <c r="E83" i="2"/>
  <c r="C84" i="2" s="1"/>
  <c r="G83" i="2"/>
  <c r="F83" i="2"/>
  <c r="A95" i="3"/>
  <c r="D68" i="3"/>
  <c r="B69" i="3" s="1"/>
  <c r="E68" i="3"/>
  <c r="F68" i="3"/>
  <c r="E57" i="8" l="1"/>
  <c r="H57" i="8"/>
  <c r="E61" i="9"/>
  <c r="H61" i="9"/>
  <c r="E84" i="2"/>
  <c r="C85" i="2" s="1"/>
  <c r="G84" i="2"/>
  <c r="F84" i="2"/>
  <c r="B107" i="2"/>
  <c r="A96" i="3"/>
  <c r="E69" i="3"/>
  <c r="F69" i="3"/>
  <c r="D69" i="3"/>
  <c r="B70" i="3" s="1"/>
  <c r="G57" i="8" l="1"/>
  <c r="C58" i="8" s="1"/>
  <c r="F57" i="8"/>
  <c r="F61" i="9"/>
  <c r="G61" i="9"/>
  <c r="C62" i="9" s="1"/>
  <c r="B108" i="2"/>
  <c r="E85" i="2"/>
  <c r="C86" i="2" s="1"/>
  <c r="F85" i="2"/>
  <c r="G85" i="2"/>
  <c r="A97" i="3"/>
  <c r="D70" i="3"/>
  <c r="B71" i="3" s="1"/>
  <c r="E70" i="3"/>
  <c r="F70" i="3"/>
  <c r="E58" i="8" l="1"/>
  <c r="H58" i="8"/>
  <c r="H62" i="9"/>
  <c r="E62" i="9"/>
  <c r="E86" i="2"/>
  <c r="C87" i="2" s="1"/>
  <c r="G86" i="2"/>
  <c r="F86" i="2"/>
  <c r="B109" i="2"/>
  <c r="A98" i="3"/>
  <c r="A99" i="3" s="1"/>
  <c r="E71" i="3"/>
  <c r="F71" i="3"/>
  <c r="D71" i="3"/>
  <c r="B72" i="3" s="1"/>
  <c r="G58" i="8" l="1"/>
  <c r="C59" i="8" s="1"/>
  <c r="F58" i="8"/>
  <c r="F62" i="9"/>
  <c r="G62" i="9"/>
  <c r="C63" i="9" s="1"/>
  <c r="B110" i="2"/>
  <c r="E87" i="2"/>
  <c r="C88" i="2" s="1"/>
  <c r="F88" i="2" s="1"/>
  <c r="G87" i="2"/>
  <c r="F87" i="2"/>
  <c r="A100" i="3"/>
  <c r="D72" i="3"/>
  <c r="B73" i="3" s="1"/>
  <c r="E72" i="3"/>
  <c r="F72" i="3"/>
  <c r="E59" i="8" l="1"/>
  <c r="H59" i="8"/>
  <c r="E63" i="9"/>
  <c r="G63" i="9" s="1"/>
  <c r="C64" i="9" s="1"/>
  <c r="H63" i="9"/>
  <c r="E88" i="2"/>
  <c r="C89" i="2" s="1"/>
  <c r="G88" i="2"/>
  <c r="B111" i="2"/>
  <c r="A101" i="3"/>
  <c r="E73" i="3"/>
  <c r="F73" i="3"/>
  <c r="D73" i="3"/>
  <c r="B74" i="3" s="1"/>
  <c r="G59" i="8" l="1"/>
  <c r="C60" i="8" s="1"/>
  <c r="F59" i="8"/>
  <c r="F63" i="9"/>
  <c r="E64" i="9"/>
  <c r="G64" i="9" s="1"/>
  <c r="C65" i="9" s="1"/>
  <c r="H64" i="9"/>
  <c r="B112" i="2"/>
  <c r="E89" i="2"/>
  <c r="C90" i="2" s="1"/>
  <c r="F89" i="2"/>
  <c r="G89" i="2"/>
  <c r="A102" i="3"/>
  <c r="D74" i="3"/>
  <c r="B75" i="3" s="1"/>
  <c r="E74" i="3"/>
  <c r="F74" i="3"/>
  <c r="E60" i="8" l="1"/>
  <c r="H60" i="8"/>
  <c r="H65" i="9"/>
  <c r="E65" i="9"/>
  <c r="G65" i="9" s="1"/>
  <c r="C66" i="9" s="1"/>
  <c r="F64" i="9"/>
  <c r="E90" i="2"/>
  <c r="C91" i="2" s="1"/>
  <c r="G90" i="2"/>
  <c r="F90" i="2"/>
  <c r="B113" i="2"/>
  <c r="A103" i="3"/>
  <c r="E75" i="3"/>
  <c r="F75" i="3"/>
  <c r="D75" i="3"/>
  <c r="B76" i="3" s="1"/>
  <c r="G60" i="8" l="1"/>
  <c r="C61" i="8" s="1"/>
  <c r="F60" i="8"/>
  <c r="F65" i="9"/>
  <c r="E66" i="9"/>
  <c r="H66" i="9"/>
  <c r="B114" i="2"/>
  <c r="E91" i="2"/>
  <c r="C92" i="2" s="1"/>
  <c r="G91" i="2"/>
  <c r="F91" i="2"/>
  <c r="A104" i="3"/>
  <c r="D76" i="3"/>
  <c r="B77" i="3" s="1"/>
  <c r="E76" i="3"/>
  <c r="F76" i="3"/>
  <c r="E61" i="8" l="1"/>
  <c r="H61" i="8"/>
  <c r="F66" i="9"/>
  <c r="G66" i="9"/>
  <c r="C67" i="9" s="1"/>
  <c r="H67" i="9" s="1"/>
  <c r="E92" i="2"/>
  <c r="C93" i="2" s="1"/>
  <c r="G92" i="2"/>
  <c r="F92" i="2"/>
  <c r="B115" i="2"/>
  <c r="A105" i="3"/>
  <c r="E77" i="3"/>
  <c r="F77" i="3"/>
  <c r="D77" i="3"/>
  <c r="B78" i="3" s="1"/>
  <c r="G61" i="8" l="1"/>
  <c r="C62" i="8" s="1"/>
  <c r="F61" i="8"/>
  <c r="E67" i="9"/>
  <c r="G67" i="9" s="1"/>
  <c r="C68" i="9" s="1"/>
  <c r="E68" i="9" s="1"/>
  <c r="G68" i="9" s="1"/>
  <c r="C69" i="9" s="1"/>
  <c r="E69" i="9" s="1"/>
  <c r="B116" i="2"/>
  <c r="B117" i="2" s="1"/>
  <c r="E93" i="2"/>
  <c r="C94" i="2" s="1"/>
  <c r="F93" i="2"/>
  <c r="G93" i="2"/>
  <c r="A106" i="3"/>
  <c r="D78" i="3"/>
  <c r="B79" i="3" s="1"/>
  <c r="E78" i="3"/>
  <c r="F78" i="3"/>
  <c r="H62" i="8" l="1"/>
  <c r="E62" i="8"/>
  <c r="F67" i="9"/>
  <c r="F68" i="9" s="1"/>
  <c r="F69" i="9" s="1"/>
  <c r="H68" i="9"/>
  <c r="H69" i="9"/>
  <c r="G69" i="9"/>
  <c r="C70" i="9" s="1"/>
  <c r="B118" i="2"/>
  <c r="E94" i="2"/>
  <c r="C95" i="2" s="1"/>
  <c r="G94" i="2"/>
  <c r="F94" i="2"/>
  <c r="A107" i="3"/>
  <c r="E79" i="3"/>
  <c r="F79" i="3"/>
  <c r="D79" i="3"/>
  <c r="B80" i="3" s="1"/>
  <c r="G62" i="8" l="1"/>
  <c r="C63" i="8" s="1"/>
  <c r="F62" i="8"/>
  <c r="E70" i="9"/>
  <c r="F70" i="9" s="1"/>
  <c r="H70" i="9"/>
  <c r="B119" i="2"/>
  <c r="E95" i="2"/>
  <c r="C96" i="2" s="1"/>
  <c r="G95" i="2"/>
  <c r="F95" i="2"/>
  <c r="A108" i="3"/>
  <c r="D80" i="3"/>
  <c r="B81" i="3" s="1"/>
  <c r="E80" i="3"/>
  <c r="F80" i="3"/>
  <c r="H63" i="8" l="1"/>
  <c r="E63" i="8"/>
  <c r="G63" i="8" s="1"/>
  <c r="C64" i="8" s="1"/>
  <c r="G70" i="9"/>
  <c r="C71" i="9" s="1"/>
  <c r="B120" i="2"/>
  <c r="E96" i="2"/>
  <c r="C97" i="2" s="1"/>
  <c r="G96" i="2"/>
  <c r="F96" i="2"/>
  <c r="A109" i="3"/>
  <c r="E81" i="3"/>
  <c r="F81" i="3"/>
  <c r="D81" i="3"/>
  <c r="B82" i="3" s="1"/>
  <c r="E64" i="8" l="1"/>
  <c r="G64" i="8" s="1"/>
  <c r="C65" i="8" s="1"/>
  <c r="H64" i="8"/>
  <c r="F63" i="8"/>
  <c r="E71" i="9"/>
  <c r="F71" i="9" s="1"/>
  <c r="H71" i="9"/>
  <c r="B121" i="2"/>
  <c r="E97" i="2"/>
  <c r="C98" i="2" s="1"/>
  <c r="F97" i="2"/>
  <c r="G97" i="2"/>
  <c r="E82" i="3"/>
  <c r="F82" i="3"/>
  <c r="D82" i="3"/>
  <c r="B83" i="3" s="1"/>
  <c r="F64" i="8" l="1"/>
  <c r="E65" i="8"/>
  <c r="G65" i="8" s="1"/>
  <c r="C66" i="8" s="1"/>
  <c r="H65" i="8"/>
  <c r="G71" i="9"/>
  <c r="C72" i="9" s="1"/>
  <c r="B122" i="2"/>
  <c r="E98" i="2"/>
  <c r="C99" i="2" s="1"/>
  <c r="G98" i="2"/>
  <c r="F98" i="2"/>
  <c r="D83" i="3"/>
  <c r="B84" i="3" s="1"/>
  <c r="E83" i="3"/>
  <c r="F83" i="3"/>
  <c r="E66" i="8" l="1"/>
  <c r="G66" i="8" s="1"/>
  <c r="C67" i="8" s="1"/>
  <c r="H66" i="8"/>
  <c r="F65" i="8"/>
  <c r="E72" i="9"/>
  <c r="F72" i="9" s="1"/>
  <c r="H72" i="9"/>
  <c r="B123" i="2"/>
  <c r="E99" i="2"/>
  <c r="C100" i="2" s="1"/>
  <c r="G99" i="2"/>
  <c r="F99" i="2"/>
  <c r="E84" i="3"/>
  <c r="F84" i="3"/>
  <c r="D84" i="3"/>
  <c r="B85" i="3" s="1"/>
  <c r="E67" i="8" l="1"/>
  <c r="G67" i="8" s="1"/>
  <c r="C68" i="8" s="1"/>
  <c r="H67" i="8"/>
  <c r="F66" i="8"/>
  <c r="G72" i="9"/>
  <c r="C73" i="9" s="1"/>
  <c r="B124" i="2"/>
  <c r="E100" i="2"/>
  <c r="C101" i="2" s="1"/>
  <c r="G100" i="2"/>
  <c r="F100" i="2"/>
  <c r="D85" i="3"/>
  <c r="B86" i="3" s="1"/>
  <c r="E85" i="3"/>
  <c r="F85" i="3"/>
  <c r="E68" i="8" l="1"/>
  <c r="H68" i="8"/>
  <c r="F67" i="8"/>
  <c r="E73" i="9"/>
  <c r="F73" i="9" s="1"/>
  <c r="H73" i="9"/>
  <c r="B125" i="2"/>
  <c r="E101" i="2"/>
  <c r="C102" i="2" s="1"/>
  <c r="G101" i="2"/>
  <c r="F101" i="2"/>
  <c r="E86" i="3"/>
  <c r="F86" i="3"/>
  <c r="D86" i="3"/>
  <c r="B87" i="3" s="1"/>
  <c r="F68" i="8" l="1"/>
  <c r="G68" i="8"/>
  <c r="C69" i="8" s="1"/>
  <c r="G73" i="9"/>
  <c r="C74" i="9" s="1"/>
  <c r="B126" i="2"/>
  <c r="E102" i="2"/>
  <c r="C103" i="2" s="1"/>
  <c r="G102" i="2"/>
  <c r="F102" i="2"/>
  <c r="D87" i="3"/>
  <c r="B88" i="3" s="1"/>
  <c r="E87" i="3"/>
  <c r="F87" i="3"/>
  <c r="E69" i="8" l="1"/>
  <c r="H69" i="8"/>
  <c r="E74" i="9"/>
  <c r="F74" i="9" s="1"/>
  <c r="H74" i="9"/>
  <c r="B127" i="2"/>
  <c r="E103" i="2"/>
  <c r="C104" i="2" s="1"/>
  <c r="G103" i="2"/>
  <c r="F103" i="2"/>
  <c r="E88" i="3"/>
  <c r="F88" i="3"/>
  <c r="D88" i="3"/>
  <c r="B89" i="3" s="1"/>
  <c r="G69" i="8" l="1"/>
  <c r="C70" i="8" s="1"/>
  <c r="F69" i="8"/>
  <c r="G74" i="9"/>
  <c r="C75" i="9" s="1"/>
  <c r="E75" i="9" s="1"/>
  <c r="B128" i="2"/>
  <c r="E104" i="2"/>
  <c r="C105" i="2" s="1"/>
  <c r="G104" i="2"/>
  <c r="F104" i="2"/>
  <c r="D89" i="3"/>
  <c r="B90" i="3" s="1"/>
  <c r="E89" i="3"/>
  <c r="F89" i="3"/>
  <c r="E70" i="8" l="1"/>
  <c r="H70" i="8"/>
  <c r="H75" i="9"/>
  <c r="F75" i="9"/>
  <c r="G75" i="9"/>
  <c r="C76" i="9" s="1"/>
  <c r="H76" i="9" s="1"/>
  <c r="B129" i="2"/>
  <c r="E105" i="2"/>
  <c r="C106" i="2" s="1"/>
  <c r="G105" i="2"/>
  <c r="F105" i="2"/>
  <c r="E90" i="3"/>
  <c r="F90" i="3"/>
  <c r="D90" i="3"/>
  <c r="B91" i="3" s="1"/>
  <c r="G70" i="8" l="1"/>
  <c r="C71" i="8" s="1"/>
  <c r="F70" i="8"/>
  <c r="E76" i="9"/>
  <c r="F76" i="9" s="1"/>
  <c r="B130" i="2"/>
  <c r="E106" i="2"/>
  <c r="C107" i="2" s="1"/>
  <c r="G106" i="2"/>
  <c r="F106" i="2"/>
  <c r="D91" i="3"/>
  <c r="B92" i="3" s="1"/>
  <c r="E91" i="3"/>
  <c r="F91" i="3"/>
  <c r="H71" i="8" l="1"/>
  <c r="E71" i="8"/>
  <c r="G71" i="8" s="1"/>
  <c r="C72" i="8" s="1"/>
  <c r="G76" i="9"/>
  <c r="C77" i="9" s="1"/>
  <c r="E77" i="9" s="1"/>
  <c r="F77" i="9" s="1"/>
  <c r="B131" i="2"/>
  <c r="E107" i="2"/>
  <c r="C108" i="2" s="1"/>
  <c r="G107" i="2"/>
  <c r="F107" i="2"/>
  <c r="E92" i="3"/>
  <c r="F92" i="3"/>
  <c r="D92" i="3"/>
  <c r="B93" i="3" s="1"/>
  <c r="E72" i="8" l="1"/>
  <c r="G72" i="8" s="1"/>
  <c r="C73" i="8" s="1"/>
  <c r="H72" i="8"/>
  <c r="F71" i="8"/>
  <c r="H77" i="9"/>
  <c r="G77" i="9"/>
  <c r="C78" i="9" s="1"/>
  <c r="B132" i="2"/>
  <c r="E108" i="2"/>
  <c r="C109" i="2" s="1"/>
  <c r="G108" i="2"/>
  <c r="F108" i="2"/>
  <c r="D93" i="3"/>
  <c r="B94" i="3" s="1"/>
  <c r="E93" i="3"/>
  <c r="F93" i="3"/>
  <c r="F72" i="8" l="1"/>
  <c r="E73" i="8"/>
  <c r="H73" i="8"/>
  <c r="E78" i="9"/>
  <c r="F78" i="9" s="1"/>
  <c r="H78" i="9"/>
  <c r="B133" i="2"/>
  <c r="E109" i="2"/>
  <c r="C110" i="2" s="1"/>
  <c r="G109" i="2"/>
  <c r="F109" i="2"/>
  <c r="E94" i="3"/>
  <c r="F94" i="3"/>
  <c r="D94" i="3"/>
  <c r="B95" i="3" s="1"/>
  <c r="F73" i="8" l="1"/>
  <c r="G73" i="8"/>
  <c r="C74" i="8" s="1"/>
  <c r="G78" i="9"/>
  <c r="C79" i="9" s="1"/>
  <c r="E79" i="9" s="1"/>
  <c r="B134" i="2"/>
  <c r="E110" i="2"/>
  <c r="C111" i="2" s="1"/>
  <c r="G110" i="2"/>
  <c r="F110" i="2"/>
  <c r="D95" i="3"/>
  <c r="B96" i="3" s="1"/>
  <c r="E95" i="3"/>
  <c r="F95" i="3"/>
  <c r="H74" i="8" l="1"/>
  <c r="E74" i="8"/>
  <c r="H79" i="9"/>
  <c r="F79" i="9"/>
  <c r="G79" i="9"/>
  <c r="C80" i="9" s="1"/>
  <c r="H80" i="9" s="1"/>
  <c r="B135" i="2"/>
  <c r="E111" i="2"/>
  <c r="C112" i="2" s="1"/>
  <c r="G111" i="2"/>
  <c r="F111" i="2"/>
  <c r="E96" i="3"/>
  <c r="F96" i="3"/>
  <c r="D96" i="3"/>
  <c r="B97" i="3" s="1"/>
  <c r="G74" i="8" l="1"/>
  <c r="C75" i="8" s="1"/>
  <c r="F74" i="8"/>
  <c r="E80" i="9"/>
  <c r="F80" i="9" s="1"/>
  <c r="B136" i="2"/>
  <c r="E112" i="2"/>
  <c r="C113" i="2" s="1"/>
  <c r="G112" i="2"/>
  <c r="F112" i="2"/>
  <c r="D97" i="3"/>
  <c r="B98" i="3" s="1"/>
  <c r="E97" i="3"/>
  <c r="F97" i="3"/>
  <c r="E75" i="8" l="1"/>
  <c r="H75" i="8"/>
  <c r="G80" i="9"/>
  <c r="C81" i="9" s="1"/>
  <c r="E81" i="9" s="1"/>
  <c r="F81" i="9" s="1"/>
  <c r="B137" i="2"/>
  <c r="E113" i="2"/>
  <c r="C114" i="2" s="1"/>
  <c r="G113" i="2"/>
  <c r="F113" i="2"/>
  <c r="E98" i="3"/>
  <c r="F98" i="3"/>
  <c r="D98" i="3"/>
  <c r="B99" i="3" s="1"/>
  <c r="G75" i="8" l="1"/>
  <c r="C76" i="8" s="1"/>
  <c r="F75" i="8"/>
  <c r="H81" i="9"/>
  <c r="G81" i="9"/>
  <c r="C82" i="9" s="1"/>
  <c r="B138" i="2"/>
  <c r="E114" i="2"/>
  <c r="C115" i="2" s="1"/>
  <c r="G114" i="2"/>
  <c r="F114" i="2"/>
  <c r="E99" i="3"/>
  <c r="F99" i="3"/>
  <c r="D99" i="3"/>
  <c r="B100" i="3" s="1"/>
  <c r="H76" i="8" l="1"/>
  <c r="E76" i="8"/>
  <c r="E82" i="9"/>
  <c r="F82" i="9" s="1"/>
  <c r="H82" i="9"/>
  <c r="B139" i="2"/>
  <c r="E115" i="2"/>
  <c r="C116" i="2" s="1"/>
  <c r="G115" i="2"/>
  <c r="F115" i="2"/>
  <c r="D100" i="3"/>
  <c r="B101" i="3" s="1"/>
  <c r="E100" i="3"/>
  <c r="F100" i="3"/>
  <c r="G76" i="8" l="1"/>
  <c r="C77" i="8" s="1"/>
  <c r="F76" i="8"/>
  <c r="G82" i="9"/>
  <c r="C83" i="9" s="1"/>
  <c r="E83" i="9" s="1"/>
  <c r="B140" i="2"/>
  <c r="E116" i="2"/>
  <c r="C117" i="2" s="1"/>
  <c r="G116" i="2"/>
  <c r="F116" i="2"/>
  <c r="E101" i="3"/>
  <c r="F101" i="3"/>
  <c r="D101" i="3"/>
  <c r="B102" i="3" s="1"/>
  <c r="E77" i="8" l="1"/>
  <c r="G77" i="8" s="1"/>
  <c r="C78" i="8" s="1"/>
  <c r="H77" i="8"/>
  <c r="H83" i="9"/>
  <c r="F83" i="9"/>
  <c r="G83" i="9"/>
  <c r="C84" i="9" s="1"/>
  <c r="H84" i="9" s="1"/>
  <c r="G117" i="2"/>
  <c r="F117" i="2"/>
  <c r="E117" i="2"/>
  <c r="C118" i="2" s="1"/>
  <c r="B141" i="2"/>
  <c r="F102" i="3"/>
  <c r="D102" i="3"/>
  <c r="B103" i="3" s="1"/>
  <c r="E102" i="3"/>
  <c r="E78" i="8" l="1"/>
  <c r="G78" i="8" s="1"/>
  <c r="C79" i="8" s="1"/>
  <c r="H78" i="8"/>
  <c r="F77" i="8"/>
  <c r="E84" i="9"/>
  <c r="F84" i="9" s="1"/>
  <c r="G118" i="2"/>
  <c r="F118" i="2"/>
  <c r="E118" i="2"/>
  <c r="C119" i="2" s="1"/>
  <c r="B142" i="2"/>
  <c r="E103" i="3"/>
  <c r="D103" i="3"/>
  <c r="B104" i="3" s="1"/>
  <c r="F103" i="3"/>
  <c r="F78" i="8" l="1"/>
  <c r="H79" i="8"/>
  <c r="E79" i="8"/>
  <c r="G79" i="8" s="1"/>
  <c r="C80" i="8" s="1"/>
  <c r="G84" i="9"/>
  <c r="C85" i="9" s="1"/>
  <c r="H85" i="9" s="1"/>
  <c r="G119" i="2"/>
  <c r="F119" i="2"/>
  <c r="E119" i="2"/>
  <c r="C120" i="2" s="1"/>
  <c r="B143" i="2"/>
  <c r="F104" i="3"/>
  <c r="D104" i="3"/>
  <c r="B105" i="3" s="1"/>
  <c r="E104" i="3"/>
  <c r="E80" i="8" l="1"/>
  <c r="G80" i="8" s="1"/>
  <c r="C81" i="8" s="1"/>
  <c r="H80" i="8"/>
  <c r="F79" i="8"/>
  <c r="E85" i="9"/>
  <c r="F85" i="9" s="1"/>
  <c r="F120" i="2"/>
  <c r="G120" i="2"/>
  <c r="E120" i="2"/>
  <c r="C121" i="2" s="1"/>
  <c r="B144" i="2"/>
  <c r="E105" i="3"/>
  <c r="F105" i="3"/>
  <c r="D105" i="3"/>
  <c r="B106" i="3" s="1"/>
  <c r="E81" i="8" l="1"/>
  <c r="G81" i="8" s="1"/>
  <c r="C82" i="8" s="1"/>
  <c r="H81" i="8"/>
  <c r="F80" i="8"/>
  <c r="G85" i="9"/>
  <c r="C86" i="9" s="1"/>
  <c r="H86" i="9" s="1"/>
  <c r="F121" i="2"/>
  <c r="E121" i="2"/>
  <c r="C122" i="2" s="1"/>
  <c r="G121" i="2"/>
  <c r="B145" i="2"/>
  <c r="D106" i="3"/>
  <c r="B107" i="3" s="1"/>
  <c r="F106" i="3"/>
  <c r="E106" i="3"/>
  <c r="H82" i="8" l="1"/>
  <c r="E82" i="8"/>
  <c r="F81" i="8"/>
  <c r="E86" i="9"/>
  <c r="F86" i="9" s="1"/>
  <c r="F122" i="2"/>
  <c r="G122" i="2"/>
  <c r="E122" i="2"/>
  <c r="C123" i="2" s="1"/>
  <c r="B146" i="2"/>
  <c r="E107" i="3"/>
  <c r="F107" i="3"/>
  <c r="D107" i="3"/>
  <c r="B108" i="3" s="1"/>
  <c r="F82" i="8" l="1"/>
  <c r="G82" i="8"/>
  <c r="C83" i="8" s="1"/>
  <c r="G86" i="9"/>
  <c r="C87" i="9" s="1"/>
  <c r="E87" i="9" s="1"/>
  <c r="F87" i="9" s="1"/>
  <c r="F123" i="2"/>
  <c r="E123" i="2"/>
  <c r="C124" i="2" s="1"/>
  <c r="G123" i="2"/>
  <c r="B147" i="2"/>
  <c r="D108" i="3"/>
  <c r="B109" i="3" s="1"/>
  <c r="F108" i="3"/>
  <c r="E108" i="3"/>
  <c r="H83" i="8" l="1"/>
  <c r="E83" i="8"/>
  <c r="H87" i="9"/>
  <c r="G87" i="9"/>
  <c r="C88" i="9" s="1"/>
  <c r="F124" i="2"/>
  <c r="G124" i="2"/>
  <c r="E124" i="2"/>
  <c r="C125" i="2" s="1"/>
  <c r="B148" i="2"/>
  <c r="E109" i="3"/>
  <c r="F109" i="3"/>
  <c r="D109" i="3"/>
  <c r="G83" i="8" l="1"/>
  <c r="C84" i="8" s="1"/>
  <c r="F83" i="8"/>
  <c r="E88" i="9"/>
  <c r="H88" i="9"/>
  <c r="F125" i="2"/>
  <c r="E125" i="2"/>
  <c r="C126" i="2" s="1"/>
  <c r="G125" i="2"/>
  <c r="B149" i="2"/>
  <c r="E84" i="8" l="1"/>
  <c r="H84" i="8"/>
  <c r="G88" i="9"/>
  <c r="C89" i="9" s="1"/>
  <c r="F88" i="9"/>
  <c r="F126" i="2"/>
  <c r="G126" i="2"/>
  <c r="E126" i="2"/>
  <c r="C127" i="2" s="1"/>
  <c r="B150" i="2"/>
  <c r="G84" i="8" l="1"/>
  <c r="C85" i="8" s="1"/>
  <c r="F84" i="8"/>
  <c r="E89" i="9"/>
  <c r="G89" i="9" s="1"/>
  <c r="C90" i="9" s="1"/>
  <c r="H89" i="9"/>
  <c r="F127" i="2"/>
  <c r="E127" i="2"/>
  <c r="C128" i="2" s="1"/>
  <c r="G127" i="2"/>
  <c r="B151" i="2"/>
  <c r="E85" i="8" l="1"/>
  <c r="H85" i="8"/>
  <c r="H90" i="9"/>
  <c r="E90" i="9"/>
  <c r="G90" i="9" s="1"/>
  <c r="C91" i="9" s="1"/>
  <c r="F89" i="9"/>
  <c r="F128" i="2"/>
  <c r="G128" i="2"/>
  <c r="E128" i="2"/>
  <c r="C129" i="2" s="1"/>
  <c r="B152" i="2"/>
  <c r="G85" i="8" l="1"/>
  <c r="C86" i="8" s="1"/>
  <c r="F85" i="8"/>
  <c r="F90" i="9"/>
  <c r="E91" i="9"/>
  <c r="H91" i="9"/>
  <c r="F129" i="2"/>
  <c r="E129" i="2"/>
  <c r="C130" i="2" s="1"/>
  <c r="G129" i="2"/>
  <c r="B153" i="2"/>
  <c r="E86" i="8" l="1"/>
  <c r="F86" i="8" s="1"/>
  <c r="H86" i="8"/>
  <c r="F91" i="9"/>
  <c r="G91" i="9"/>
  <c r="C92" i="9" s="1"/>
  <c r="F130" i="2"/>
  <c r="G130" i="2"/>
  <c r="E130" i="2"/>
  <c r="C131" i="2" s="1"/>
  <c r="B154" i="2"/>
  <c r="G86" i="8" l="1"/>
  <c r="C87" i="8" s="1"/>
  <c r="H92" i="9"/>
  <c r="E92" i="9"/>
  <c r="F92" i="9" s="1"/>
  <c r="F131" i="2"/>
  <c r="E131" i="2"/>
  <c r="C132" i="2" s="1"/>
  <c r="G131" i="2"/>
  <c r="B155" i="2"/>
  <c r="E87" i="8" l="1"/>
  <c r="H87" i="8"/>
  <c r="G92" i="9"/>
  <c r="C93" i="9" s="1"/>
  <c r="H93" i="9" s="1"/>
  <c r="F132" i="2"/>
  <c r="G132" i="2"/>
  <c r="E132" i="2"/>
  <c r="C133" i="2" s="1"/>
  <c r="B156" i="2"/>
  <c r="G87" i="8" l="1"/>
  <c r="C88" i="8" s="1"/>
  <c r="F87" i="8"/>
  <c r="E93" i="9"/>
  <c r="F93" i="9" s="1"/>
  <c r="F133" i="2"/>
  <c r="E133" i="2"/>
  <c r="C134" i="2" s="1"/>
  <c r="G133" i="2"/>
  <c r="B157" i="2"/>
  <c r="H88" i="8" l="1"/>
  <c r="E88" i="8"/>
  <c r="G93" i="9"/>
  <c r="C94" i="9" s="1"/>
  <c r="F134" i="2"/>
  <c r="G134" i="2"/>
  <c r="E134" i="2"/>
  <c r="C135" i="2" s="1"/>
  <c r="B158" i="2"/>
  <c r="G88" i="8" l="1"/>
  <c r="C89" i="8" s="1"/>
  <c r="F88" i="8"/>
  <c r="E94" i="9"/>
  <c r="F94" i="9" s="1"/>
  <c r="H94" i="9"/>
  <c r="F135" i="2"/>
  <c r="E135" i="2"/>
  <c r="C136" i="2" s="1"/>
  <c r="G135" i="2"/>
  <c r="B159" i="2"/>
  <c r="H89" i="8" l="1"/>
  <c r="E89" i="8"/>
  <c r="G94" i="9"/>
  <c r="C95" i="9" s="1"/>
  <c r="E95" i="9" s="1"/>
  <c r="F95" i="9" s="1"/>
  <c r="F136" i="2"/>
  <c r="G136" i="2"/>
  <c r="E136" i="2"/>
  <c r="C137" i="2" s="1"/>
  <c r="B160" i="2"/>
  <c r="G89" i="8" l="1"/>
  <c r="C90" i="8" s="1"/>
  <c r="F89" i="8"/>
  <c r="G95" i="9"/>
  <c r="C96" i="9" s="1"/>
  <c r="H96" i="9" s="1"/>
  <c r="H95" i="9"/>
  <c r="F137" i="2"/>
  <c r="E137" i="2"/>
  <c r="C138" i="2" s="1"/>
  <c r="G137" i="2"/>
  <c r="B161" i="2"/>
  <c r="E90" i="8" l="1"/>
  <c r="H90" i="8"/>
  <c r="E96" i="9"/>
  <c r="F96" i="9" s="1"/>
  <c r="F138" i="2"/>
  <c r="G138" i="2"/>
  <c r="E138" i="2"/>
  <c r="C139" i="2" s="1"/>
  <c r="B162" i="2"/>
  <c r="G90" i="8" l="1"/>
  <c r="C91" i="8" s="1"/>
  <c r="F90" i="8"/>
  <c r="G96" i="9"/>
  <c r="C97" i="9" s="1"/>
  <c r="E97" i="9" s="1"/>
  <c r="F97" i="9" s="1"/>
  <c r="F139" i="2"/>
  <c r="E139" i="2"/>
  <c r="C140" i="2" s="1"/>
  <c r="G139" i="2"/>
  <c r="H91" i="8" l="1"/>
  <c r="E91" i="8"/>
  <c r="H97" i="9"/>
  <c r="G97" i="9"/>
  <c r="C98" i="9" s="1"/>
  <c r="E98" i="9" s="1"/>
  <c r="F140" i="2"/>
  <c r="G140" i="2"/>
  <c r="E140" i="2"/>
  <c r="C141" i="2" s="1"/>
  <c r="G91" i="8" l="1"/>
  <c r="C92" i="8" s="1"/>
  <c r="F91" i="8"/>
  <c r="H98" i="9"/>
  <c r="F98" i="9"/>
  <c r="G98" i="9"/>
  <c r="C99" i="9" s="1"/>
  <c r="F141" i="2"/>
  <c r="E141" i="2"/>
  <c r="C142" i="2" s="1"/>
  <c r="G141" i="2"/>
  <c r="H92" i="8" l="1"/>
  <c r="E92" i="8"/>
  <c r="G92" i="8" s="1"/>
  <c r="C93" i="8" s="1"/>
  <c r="H99" i="9"/>
  <c r="E99" i="9"/>
  <c r="F99" i="9" s="1"/>
  <c r="F142" i="2"/>
  <c r="G142" i="2"/>
  <c r="E142" i="2"/>
  <c r="C143" i="2" s="1"/>
  <c r="H93" i="8" l="1"/>
  <c r="E93" i="8"/>
  <c r="G93" i="8" s="1"/>
  <c r="C94" i="8" s="1"/>
  <c r="F92" i="8"/>
  <c r="G99" i="9"/>
  <c r="C100" i="9" s="1"/>
  <c r="G143" i="2"/>
  <c r="F143" i="2"/>
  <c r="E143" i="2"/>
  <c r="C144" i="2" s="1"/>
  <c r="H94" i="8" l="1"/>
  <c r="E94" i="8"/>
  <c r="F93" i="8"/>
  <c r="H100" i="9"/>
  <c r="E100" i="9"/>
  <c r="G144" i="2"/>
  <c r="F144" i="2"/>
  <c r="E144" i="2"/>
  <c r="C145" i="2" s="1"/>
  <c r="F94" i="8" l="1"/>
  <c r="G94" i="8"/>
  <c r="C95" i="8" s="1"/>
  <c r="G100" i="9"/>
  <c r="C101" i="9" s="1"/>
  <c r="F100" i="9"/>
  <c r="G145" i="2"/>
  <c r="F145" i="2"/>
  <c r="E145" i="2"/>
  <c r="C146" i="2" s="1"/>
  <c r="E95" i="8" l="1"/>
  <c r="G95" i="8" s="1"/>
  <c r="C96" i="8" s="1"/>
  <c r="H95" i="8"/>
  <c r="E101" i="9"/>
  <c r="G101" i="9" s="1"/>
  <c r="C102" i="9" s="1"/>
  <c r="H101" i="9"/>
  <c r="G146" i="2"/>
  <c r="F146" i="2"/>
  <c r="E146" i="2"/>
  <c r="C147" i="2" s="1"/>
  <c r="E96" i="8" l="1"/>
  <c r="G96" i="8" s="1"/>
  <c r="C97" i="8" s="1"/>
  <c r="H96" i="8"/>
  <c r="F95" i="8"/>
  <c r="H102" i="9"/>
  <c r="E102" i="9"/>
  <c r="G102" i="9" s="1"/>
  <c r="C103" i="9" s="1"/>
  <c r="F101" i="9"/>
  <c r="G147" i="2"/>
  <c r="F147" i="2"/>
  <c r="E147" i="2"/>
  <c r="C148" i="2" s="1"/>
  <c r="E97" i="8" l="1"/>
  <c r="H97" i="8"/>
  <c r="F96" i="8"/>
  <c r="F102" i="9"/>
  <c r="H103" i="9"/>
  <c r="E103" i="9"/>
  <c r="G103" i="9" s="1"/>
  <c r="C104" i="9" s="1"/>
  <c r="G148" i="2"/>
  <c r="F148" i="2"/>
  <c r="E148" i="2"/>
  <c r="C149" i="2" s="1"/>
  <c r="F97" i="8" l="1"/>
  <c r="G97" i="8"/>
  <c r="C98" i="8" s="1"/>
  <c r="E104" i="9"/>
  <c r="G104" i="9" s="1"/>
  <c r="C105" i="9" s="1"/>
  <c r="H104" i="9"/>
  <c r="F103" i="9"/>
  <c r="G149" i="2"/>
  <c r="F149" i="2"/>
  <c r="E149" i="2"/>
  <c r="C150" i="2" s="1"/>
  <c r="H98" i="8" l="1"/>
  <c r="E98" i="8"/>
  <c r="F104" i="9"/>
  <c r="E105" i="9"/>
  <c r="H105" i="9"/>
  <c r="G150" i="2"/>
  <c r="F150" i="2"/>
  <c r="E150" i="2"/>
  <c r="C151" i="2" s="1"/>
  <c r="G98" i="8" l="1"/>
  <c r="C99" i="8" s="1"/>
  <c r="F98" i="8"/>
  <c r="F105" i="9"/>
  <c r="G105" i="9"/>
  <c r="C106" i="9" s="1"/>
  <c r="E106" i="9" s="1"/>
  <c r="G151" i="2"/>
  <c r="F151" i="2"/>
  <c r="E151" i="2"/>
  <c r="C152" i="2" s="1"/>
  <c r="H99" i="8" l="1"/>
  <c r="E99" i="8"/>
  <c r="H106" i="9"/>
  <c r="F106" i="9"/>
  <c r="G106" i="9"/>
  <c r="C107" i="9" s="1"/>
  <c r="E107" i="9" s="1"/>
  <c r="G152" i="2"/>
  <c r="F152" i="2"/>
  <c r="E152" i="2"/>
  <c r="C153" i="2" s="1"/>
  <c r="G99" i="8" l="1"/>
  <c r="C100" i="8" s="1"/>
  <c r="F99" i="8"/>
  <c r="H107" i="9"/>
  <c r="F107" i="9"/>
  <c r="G107" i="9"/>
  <c r="C108" i="9" s="1"/>
  <c r="E108" i="9" s="1"/>
  <c r="G153" i="2"/>
  <c r="F153" i="2"/>
  <c r="E153" i="2"/>
  <c r="C154" i="2" s="1"/>
  <c r="H100" i="8" l="1"/>
  <c r="E100" i="8"/>
  <c r="F108" i="9"/>
  <c r="G108" i="9"/>
  <c r="C109" i="9" s="1"/>
  <c r="H109" i="9" s="1"/>
  <c r="H108" i="9"/>
  <c r="E154" i="2"/>
  <c r="C155" i="2" s="1"/>
  <c r="G154" i="2"/>
  <c r="F154" i="2"/>
  <c r="G100" i="8" l="1"/>
  <c r="C101" i="8" s="1"/>
  <c r="F100" i="8"/>
  <c r="E109" i="9"/>
  <c r="F109" i="9" s="1"/>
  <c r="E155" i="2"/>
  <c r="C156" i="2" s="1"/>
  <c r="G155" i="2"/>
  <c r="F155" i="2"/>
  <c r="H101" i="8" l="1"/>
  <c r="E101" i="8"/>
  <c r="G109" i="9"/>
  <c r="C110" i="9" s="1"/>
  <c r="E110" i="9" s="1"/>
  <c r="F110" i="9" s="1"/>
  <c r="E156" i="2"/>
  <c r="C157" i="2" s="1"/>
  <c r="G156" i="2"/>
  <c r="F156" i="2"/>
  <c r="G101" i="8" l="1"/>
  <c r="C102" i="8" s="1"/>
  <c r="F101" i="8"/>
  <c r="H110" i="9"/>
  <c r="G110" i="9"/>
  <c r="C111" i="9" s="1"/>
  <c r="E157" i="2"/>
  <c r="C158" i="2" s="1"/>
  <c r="G157" i="2"/>
  <c r="F157" i="2"/>
  <c r="H102" i="8" l="1"/>
  <c r="E102" i="8"/>
  <c r="E111" i="9"/>
  <c r="F111" i="9" s="1"/>
  <c r="H111" i="9"/>
  <c r="E158" i="2"/>
  <c r="C159" i="2" s="1"/>
  <c r="G158" i="2"/>
  <c r="F158" i="2"/>
  <c r="G102" i="8" l="1"/>
  <c r="C103" i="8" s="1"/>
  <c r="F102" i="8"/>
  <c r="G111" i="9"/>
  <c r="C112" i="9" s="1"/>
  <c r="E112" i="9" s="1"/>
  <c r="E159" i="2"/>
  <c r="C160" i="2" s="1"/>
  <c r="G159" i="2"/>
  <c r="F159" i="2"/>
  <c r="E103" i="8" l="1"/>
  <c r="H103" i="8"/>
  <c r="H112" i="9"/>
  <c r="G112" i="9"/>
  <c r="C113" i="9" s="1"/>
  <c r="F112" i="9"/>
  <c r="E160" i="2"/>
  <c r="C161" i="2" s="1"/>
  <c r="G160" i="2"/>
  <c r="F160" i="2"/>
  <c r="G103" i="8" l="1"/>
  <c r="C104" i="8" s="1"/>
  <c r="F103" i="8"/>
  <c r="H113" i="9"/>
  <c r="E113" i="9"/>
  <c r="G113" i="9" s="1"/>
  <c r="C114" i="9" s="1"/>
  <c r="E161" i="2"/>
  <c r="C162" i="2" s="1"/>
  <c r="G161" i="2"/>
  <c r="F161" i="2"/>
  <c r="E104" i="8" l="1"/>
  <c r="G104" i="8" s="1"/>
  <c r="C105" i="8" s="1"/>
  <c r="H104" i="8"/>
  <c r="H114" i="9"/>
  <c r="E114" i="9"/>
  <c r="G114" i="9" s="1"/>
  <c r="C115" i="9" s="1"/>
  <c r="F113" i="9"/>
  <c r="E162" i="2"/>
  <c r="G162" i="2"/>
  <c r="F162" i="2"/>
  <c r="H105" i="8" l="1"/>
  <c r="E105" i="8"/>
  <c r="F104" i="8"/>
  <c r="F114" i="9"/>
  <c r="E115" i="9"/>
  <c r="G115" i="9" s="1"/>
  <c r="C116" i="9" s="1"/>
  <c r="H115" i="9"/>
  <c r="F105" i="8" l="1"/>
  <c r="G105" i="8"/>
  <c r="C106" i="8" s="1"/>
  <c r="H116" i="9"/>
  <c r="E116" i="9"/>
  <c r="G116" i="9" s="1"/>
  <c r="C117" i="9" s="1"/>
  <c r="F115" i="9"/>
  <c r="H106" i="8" l="1"/>
  <c r="E106" i="8"/>
  <c r="F106" i="8" s="1"/>
  <c r="F116" i="9"/>
  <c r="H117" i="9"/>
  <c r="E117" i="9"/>
  <c r="G117" i="9" s="1"/>
  <c r="C118" i="9" s="1"/>
  <c r="G106" i="8" l="1"/>
  <c r="C107" i="8" s="1"/>
  <c r="F117" i="9"/>
  <c r="E118" i="9"/>
  <c r="G118" i="9" s="1"/>
  <c r="C119" i="9" s="1"/>
  <c r="H118" i="9"/>
  <c r="E107" i="8" l="1"/>
  <c r="G107" i="8" s="1"/>
  <c r="C108" i="8" s="1"/>
  <c r="H107" i="8"/>
  <c r="E119" i="9"/>
  <c r="H119" i="9"/>
  <c r="F118" i="9"/>
  <c r="E108" i="8" l="1"/>
  <c r="G108" i="8" s="1"/>
  <c r="C109" i="8" s="1"/>
  <c r="H108" i="8"/>
  <c r="F107" i="8"/>
  <c r="F119" i="9"/>
  <c r="G119" i="9"/>
  <c r="C120" i="9" s="1"/>
  <c r="H109" i="8" l="1"/>
  <c r="E109" i="8"/>
  <c r="G109" i="8" s="1"/>
  <c r="C110" i="8" s="1"/>
  <c r="F108" i="8"/>
  <c r="E120" i="9"/>
  <c r="H120" i="9"/>
  <c r="F109" i="8" l="1"/>
  <c r="E110" i="8"/>
  <c r="H110" i="8"/>
  <c r="F120" i="9"/>
  <c r="G120" i="9"/>
  <c r="C121" i="9" s="1"/>
  <c r="G110" i="8" l="1"/>
  <c r="C111" i="8" s="1"/>
  <c r="F110" i="8"/>
  <c r="E121" i="9"/>
  <c r="F121" i="9" s="1"/>
  <c r="H121" i="9"/>
  <c r="E111" i="8" l="1"/>
  <c r="H111" i="8"/>
  <c r="G121" i="9"/>
  <c r="C122" i="9" s="1"/>
  <c r="G111" i="8" l="1"/>
  <c r="C112" i="8" s="1"/>
  <c r="F111" i="8"/>
  <c r="H122" i="9"/>
  <c r="E122" i="9"/>
  <c r="F122" i="9" s="1"/>
  <c r="E112" i="8" l="1"/>
  <c r="G112" i="8" s="1"/>
  <c r="C113" i="8" s="1"/>
  <c r="H112" i="8"/>
  <c r="G122" i="9"/>
  <c r="C123" i="9" s="1"/>
  <c r="E113" i="8" l="1"/>
  <c r="G113" i="8" s="1"/>
  <c r="C114" i="8" s="1"/>
  <c r="H113" i="8"/>
  <c r="F112" i="8"/>
  <c r="E123" i="9"/>
  <c r="H123" i="9"/>
  <c r="H114" i="8" l="1"/>
  <c r="E114" i="8"/>
  <c r="G114" i="8" s="1"/>
  <c r="C115" i="8" s="1"/>
  <c r="F113" i="8"/>
  <c r="G123" i="9"/>
  <c r="C124" i="9" s="1"/>
  <c r="F123" i="9"/>
  <c r="E115" i="8" l="1"/>
  <c r="G115" i="8" s="1"/>
  <c r="C116" i="8" s="1"/>
  <c r="H115" i="8"/>
  <c r="F114" i="8"/>
  <c r="H124" i="9"/>
  <c r="E124" i="9"/>
  <c r="G124" i="9" s="1"/>
  <c r="C125" i="9" s="1"/>
  <c r="E116" i="8" l="1"/>
  <c r="G116" i="8" s="1"/>
  <c r="C117" i="8" s="1"/>
  <c r="H116" i="8"/>
  <c r="F115" i="8"/>
  <c r="E125" i="9"/>
  <c r="G125" i="9" s="1"/>
  <c r="C126" i="9" s="1"/>
  <c r="H125" i="9"/>
  <c r="F124" i="9"/>
  <c r="E117" i="8" l="1"/>
  <c r="G117" i="8" s="1"/>
  <c r="C118" i="8" s="1"/>
  <c r="H117" i="8"/>
  <c r="F116" i="8"/>
  <c r="H126" i="9"/>
  <c r="E126" i="9"/>
  <c r="F125" i="9"/>
  <c r="H118" i="8" l="1"/>
  <c r="E118" i="8"/>
  <c r="G118" i="8" s="1"/>
  <c r="C119" i="8" s="1"/>
  <c r="F117" i="8"/>
  <c r="F126" i="9"/>
  <c r="G126" i="9"/>
  <c r="C127" i="9" s="1"/>
  <c r="E119" i="8" l="1"/>
  <c r="G119" i="8" s="1"/>
  <c r="C120" i="8" s="1"/>
  <c r="H119" i="8"/>
  <c r="F118" i="8"/>
  <c r="H127" i="9"/>
  <c r="E127" i="9"/>
  <c r="F119" i="8" l="1"/>
  <c r="E120" i="8"/>
  <c r="H120" i="8"/>
  <c r="G127" i="9"/>
  <c r="C128" i="9" s="1"/>
  <c r="F127" i="9"/>
  <c r="G120" i="8" l="1"/>
  <c r="C121" i="8" s="1"/>
  <c r="F120" i="8"/>
  <c r="E128" i="9"/>
  <c r="G128" i="9" s="1"/>
  <c r="C129" i="9" s="1"/>
  <c r="H128" i="9"/>
  <c r="H121" i="8" l="1"/>
  <c r="E121" i="8"/>
  <c r="H129" i="9"/>
  <c r="E129" i="9"/>
  <c r="G129" i="9" s="1"/>
  <c r="C130" i="9" s="1"/>
  <c r="F128" i="9"/>
  <c r="G121" i="8" l="1"/>
  <c r="C122" i="8" s="1"/>
  <c r="F121" i="8"/>
  <c r="F129" i="9"/>
  <c r="E130" i="9"/>
  <c r="G130" i="9" s="1"/>
  <c r="C131" i="9" s="1"/>
  <c r="H130" i="9"/>
  <c r="E122" i="8" l="1"/>
  <c r="H122" i="8"/>
  <c r="F130" i="9"/>
  <c r="E131" i="9"/>
  <c r="H131" i="9"/>
  <c r="G122" i="8" l="1"/>
  <c r="C123" i="8" s="1"/>
  <c r="F122" i="8"/>
  <c r="F131" i="9"/>
  <c r="G131" i="9"/>
  <c r="C132" i="9" s="1"/>
  <c r="E123" i="8" l="1"/>
  <c r="G123" i="8" s="1"/>
  <c r="C124" i="8" s="1"/>
  <c r="H123" i="8"/>
  <c r="H132" i="9"/>
  <c r="E132" i="9"/>
  <c r="F132" i="9" s="1"/>
  <c r="E124" i="8" l="1"/>
  <c r="G124" i="8" s="1"/>
  <c r="C125" i="8" s="1"/>
  <c r="H124" i="8"/>
  <c r="F123" i="8"/>
  <c r="G132" i="9"/>
  <c r="C133" i="9" s="1"/>
  <c r="H133" i="9" s="1"/>
  <c r="H125" i="8" l="1"/>
  <c r="E125" i="8"/>
  <c r="G125" i="8" s="1"/>
  <c r="C126" i="8" s="1"/>
  <c r="F124" i="8"/>
  <c r="E133" i="9"/>
  <c r="G133" i="9" s="1"/>
  <c r="C134" i="9" s="1"/>
  <c r="H134" i="9" s="1"/>
  <c r="E126" i="8" l="1"/>
  <c r="G126" i="8" s="1"/>
  <c r="C127" i="8" s="1"/>
  <c r="H126" i="8"/>
  <c r="F125" i="8"/>
  <c r="E134" i="9"/>
  <c r="G134" i="9" s="1"/>
  <c r="C135" i="9" s="1"/>
  <c r="H135" i="9" s="1"/>
  <c r="F133" i="9"/>
  <c r="E127" i="8" l="1"/>
  <c r="G127" i="8" s="1"/>
  <c r="C128" i="8" s="1"/>
  <c r="H127" i="8"/>
  <c r="F126" i="8"/>
  <c r="E135" i="9"/>
  <c r="F134" i="9"/>
  <c r="F127" i="8" l="1"/>
  <c r="E128" i="8"/>
  <c r="H128" i="8"/>
  <c r="F135" i="9"/>
  <c r="G135" i="9"/>
  <c r="C136" i="9" s="1"/>
  <c r="H136" i="9" s="1"/>
  <c r="F128" i="8" l="1"/>
  <c r="G128" i="8"/>
  <c r="C129" i="8" s="1"/>
  <c r="E136" i="9"/>
  <c r="F136" i="9" s="1"/>
  <c r="E129" i="8" l="1"/>
  <c r="H129" i="8"/>
  <c r="G136" i="9"/>
  <c r="C137" i="9" s="1"/>
  <c r="H137" i="9" s="1"/>
  <c r="G129" i="8" l="1"/>
  <c r="C130" i="8" s="1"/>
  <c r="F129" i="8"/>
  <c r="E137" i="9"/>
  <c r="F137" i="9" s="1"/>
  <c r="H130" i="8" l="1"/>
  <c r="E130" i="8"/>
  <c r="G137" i="9"/>
  <c r="C138" i="9" s="1"/>
  <c r="H138" i="9" s="1"/>
  <c r="G130" i="8" l="1"/>
  <c r="C131" i="8" s="1"/>
  <c r="F130" i="8"/>
  <c r="E138" i="9"/>
  <c r="F138" i="9" s="1"/>
  <c r="E131" i="8" l="1"/>
  <c r="H131" i="8"/>
  <c r="G138" i="9"/>
  <c r="C139" i="9" s="1"/>
  <c r="E139" i="9" s="1"/>
  <c r="G131" i="8" l="1"/>
  <c r="C132" i="8" s="1"/>
  <c r="F131" i="8"/>
  <c r="H139" i="9"/>
  <c r="F139" i="9"/>
  <c r="G139" i="9"/>
  <c r="C140" i="9" s="1"/>
  <c r="E132" i="8" l="1"/>
  <c r="H132" i="8"/>
  <c r="H140" i="9"/>
  <c r="E140" i="9"/>
  <c r="F140" i="9" s="1"/>
  <c r="G132" i="8" l="1"/>
  <c r="C133" i="8" s="1"/>
  <c r="F132" i="8"/>
  <c r="G140" i="9"/>
  <c r="C141" i="9" s="1"/>
  <c r="E133" i="8" l="1"/>
  <c r="H133" i="8"/>
  <c r="E141" i="9"/>
  <c r="F141" i="9" s="1"/>
  <c r="H141" i="9"/>
  <c r="G133" i="8" l="1"/>
  <c r="C134" i="8" s="1"/>
  <c r="F133" i="8"/>
  <c r="G141" i="9"/>
  <c r="C142" i="9" s="1"/>
  <c r="E134" i="8" l="1"/>
  <c r="H134" i="8"/>
  <c r="H142" i="9"/>
  <c r="E142" i="9"/>
  <c r="F142" i="9" s="1"/>
  <c r="G134" i="8" l="1"/>
  <c r="C135" i="8" s="1"/>
  <c r="F134" i="8"/>
  <c r="G142" i="9"/>
  <c r="C143" i="9" s="1"/>
  <c r="H143" i="9" s="1"/>
  <c r="H135" i="8" l="1"/>
  <c r="E135" i="8"/>
  <c r="E143" i="9"/>
  <c r="G143" i="9" s="1"/>
  <c r="C144" i="9" s="1"/>
  <c r="G135" i="8" l="1"/>
  <c r="C136" i="8" s="1"/>
  <c r="F135" i="8"/>
  <c r="F143" i="9"/>
  <c r="H144" i="9"/>
  <c r="E144" i="9"/>
  <c r="H136" i="8" l="1"/>
  <c r="E136" i="8"/>
  <c r="G144" i="9"/>
  <c r="C145" i="9" s="1"/>
  <c r="F144" i="9"/>
  <c r="G136" i="8" l="1"/>
  <c r="C137" i="8" s="1"/>
  <c r="F136" i="8"/>
  <c r="E145" i="9"/>
  <c r="F145" i="9" s="1"/>
  <c r="H145" i="9"/>
  <c r="H137" i="8" l="1"/>
  <c r="E137" i="8"/>
  <c r="G145" i="9"/>
  <c r="C146" i="9" s="1"/>
  <c r="G137" i="8" l="1"/>
  <c r="C138" i="8" s="1"/>
  <c r="F137" i="8"/>
  <c r="H146" i="9"/>
  <c r="E146" i="9"/>
  <c r="H138" i="8" l="1"/>
  <c r="E138" i="8"/>
  <c r="G146" i="9"/>
  <c r="C147" i="9" s="1"/>
  <c r="F146" i="9"/>
  <c r="G138" i="8" l="1"/>
  <c r="C139" i="8" s="1"/>
  <c r="F138" i="8"/>
  <c r="E147" i="9"/>
  <c r="G147" i="9" s="1"/>
  <c r="C148" i="9" s="1"/>
  <c r="H147" i="9"/>
  <c r="H139" i="8" l="1"/>
  <c r="E139" i="8"/>
  <c r="G139" i="8" s="1"/>
  <c r="C140" i="8" s="1"/>
  <c r="F147" i="9"/>
  <c r="H148" i="9"/>
  <c r="E148" i="9"/>
  <c r="H140" i="8" l="1"/>
  <c r="E140" i="8"/>
  <c r="G140" i="8" s="1"/>
  <c r="C141" i="8" s="1"/>
  <c r="F139" i="8"/>
  <c r="F148" i="9"/>
  <c r="G148" i="9"/>
  <c r="C149" i="9" s="1"/>
  <c r="F140" i="8" l="1"/>
  <c r="H141" i="8"/>
  <c r="E141" i="8"/>
  <c r="G141" i="8" s="1"/>
  <c r="C142" i="8" s="1"/>
  <c r="E149" i="9"/>
  <c r="F149" i="9" s="1"/>
  <c r="H149" i="9"/>
  <c r="E142" i="8" l="1"/>
  <c r="G142" i="8" s="1"/>
  <c r="C143" i="8" s="1"/>
  <c r="H142" i="8"/>
  <c r="F141" i="8"/>
  <c r="G149" i="9"/>
  <c r="C150" i="9" s="1"/>
  <c r="F142" i="8" l="1"/>
  <c r="E143" i="8"/>
  <c r="H143" i="8"/>
  <c r="H150" i="9"/>
  <c r="E150" i="9"/>
  <c r="F150" i="9" s="1"/>
  <c r="F143" i="8" l="1"/>
  <c r="G143" i="8"/>
  <c r="C144" i="8" s="1"/>
  <c r="E144" i="8" s="1"/>
  <c r="G150" i="9"/>
  <c r="C151" i="9" s="1"/>
  <c r="H151" i="9" s="1"/>
  <c r="H144" i="8" l="1"/>
  <c r="F144" i="8"/>
  <c r="G144" i="8"/>
  <c r="C145" i="8" s="1"/>
  <c r="E145" i="8" s="1"/>
  <c r="E151" i="9"/>
  <c r="F151" i="9" s="1"/>
  <c r="G145" i="8" l="1"/>
  <c r="C146" i="8" s="1"/>
  <c r="H146" i="8" s="1"/>
  <c r="F145" i="8"/>
  <c r="H145" i="8"/>
  <c r="G151" i="9"/>
  <c r="C152" i="9" s="1"/>
  <c r="H152" i="9" s="1"/>
  <c r="E146" i="8" l="1"/>
  <c r="G146" i="8" s="1"/>
  <c r="C147" i="8" s="1"/>
  <c r="E147" i="8" s="1"/>
  <c r="G147" i="8" s="1"/>
  <c r="C148" i="8" s="1"/>
  <c r="E152" i="9"/>
  <c r="F152" i="9" s="1"/>
  <c r="F146" i="8" l="1"/>
  <c r="F147" i="8" s="1"/>
  <c r="H147" i="8"/>
  <c r="H148" i="8"/>
  <c r="E148" i="8"/>
  <c r="G148" i="8" s="1"/>
  <c r="C149" i="8" s="1"/>
  <c r="G152" i="9"/>
  <c r="C153" i="9" s="1"/>
  <c r="H153" i="9" s="1"/>
  <c r="H149" i="8" l="1"/>
  <c r="E149" i="8"/>
  <c r="G149" i="8" s="1"/>
  <c r="C150" i="8" s="1"/>
  <c r="F148" i="8"/>
  <c r="E153" i="9"/>
  <c r="F153" i="9" s="1"/>
  <c r="F149" i="8" l="1"/>
  <c r="E150" i="8"/>
  <c r="G150" i="8" s="1"/>
  <c r="C151" i="8" s="1"/>
  <c r="H150" i="8"/>
  <c r="G153" i="9"/>
  <c r="C154" i="9" s="1"/>
  <c r="E154" i="9" s="1"/>
  <c r="F154" i="9" s="1"/>
  <c r="E151" i="8" l="1"/>
  <c r="G151" i="8" s="1"/>
  <c r="C152" i="8" s="1"/>
  <c r="H151" i="8"/>
  <c r="F150" i="8"/>
  <c r="G154" i="9"/>
  <c r="C155" i="9" s="1"/>
  <c r="H155" i="9" s="1"/>
  <c r="H154" i="9"/>
  <c r="F151" i="8" l="1"/>
  <c r="E152" i="8"/>
  <c r="G152" i="8" s="1"/>
  <c r="C153" i="8" s="1"/>
  <c r="H152" i="8"/>
  <c r="E155" i="9"/>
  <c r="G155" i="9" s="1"/>
  <c r="C156" i="9" s="1"/>
  <c r="E156" i="9" s="1"/>
  <c r="E153" i="8" l="1"/>
  <c r="G153" i="8" s="1"/>
  <c r="C154" i="8" s="1"/>
  <c r="H153" i="8"/>
  <c r="F152" i="8"/>
  <c r="H156" i="9"/>
  <c r="G156" i="9"/>
  <c r="C157" i="9" s="1"/>
  <c r="E157" i="9" s="1"/>
  <c r="G157" i="9" s="1"/>
  <c r="C158" i="9" s="1"/>
  <c r="H158" i="9" s="1"/>
  <c r="F155" i="9"/>
  <c r="F156" i="9" s="1"/>
  <c r="F153" i="8" l="1"/>
  <c r="E154" i="8"/>
  <c r="G154" i="8" s="1"/>
  <c r="C155" i="8" s="1"/>
  <c r="H154" i="8"/>
  <c r="F157" i="9"/>
  <c r="H157" i="9"/>
  <c r="E158" i="9"/>
  <c r="G158" i="9" s="1"/>
  <c r="C159" i="9" s="1"/>
  <c r="E155" i="8" l="1"/>
  <c r="G155" i="8" s="1"/>
  <c r="C156" i="8" s="1"/>
  <c r="H155" i="8"/>
  <c r="F154" i="8"/>
  <c r="F158" i="9"/>
  <c r="E159" i="9"/>
  <c r="H159" i="9"/>
  <c r="F155" i="8" l="1"/>
  <c r="E156" i="8"/>
  <c r="H156" i="8"/>
  <c r="F159" i="9"/>
  <c r="G159" i="9"/>
  <c r="C160" i="9" s="1"/>
  <c r="H160" i="9" s="1"/>
  <c r="F156" i="8" l="1"/>
  <c r="G156" i="8"/>
  <c r="C157" i="8" s="1"/>
  <c r="E157" i="8" s="1"/>
  <c r="E160" i="9"/>
  <c r="F160" i="9" s="1"/>
  <c r="F157" i="8" l="1"/>
  <c r="H157" i="8"/>
  <c r="G157" i="8"/>
  <c r="C158" i="8" s="1"/>
  <c r="G160" i="9"/>
  <c r="C161" i="9" s="1"/>
  <c r="H161" i="9" s="1"/>
  <c r="H158" i="8" l="1"/>
  <c r="E158" i="8"/>
  <c r="F158" i="8" s="1"/>
  <c r="E161" i="9"/>
  <c r="F161" i="9" s="1"/>
  <c r="G158" i="8" l="1"/>
  <c r="C159" i="8" s="1"/>
  <c r="G161" i="9"/>
  <c r="C162" i="9" s="1"/>
  <c r="E159" i="8" l="1"/>
  <c r="H159" i="8"/>
  <c r="E162" i="9"/>
  <c r="F162" i="9" s="1"/>
  <c r="H162" i="9"/>
  <c r="G159" i="8" l="1"/>
  <c r="C160" i="8" s="1"/>
  <c r="F159" i="8"/>
  <c r="G162" i="9"/>
  <c r="H160" i="8" l="1"/>
  <c r="E160" i="8"/>
  <c r="G160" i="8" s="1"/>
  <c r="C161" i="8" s="1"/>
  <c r="H161" i="8" l="1"/>
  <c r="E161" i="8"/>
  <c r="G161" i="8" s="1"/>
  <c r="C162" i="8" s="1"/>
  <c r="F160" i="8"/>
  <c r="F161" i="8" l="1"/>
  <c r="H162" i="8"/>
  <c r="E162" i="8"/>
  <c r="G162" i="8" s="1"/>
  <c r="F162" i="8" l="1"/>
</calcChain>
</file>

<file path=xl/sharedStrings.xml><?xml version="1.0" encoding="utf-8"?>
<sst xmlns="http://schemas.openxmlformats.org/spreadsheetml/2006/main" count="81" uniqueCount="30">
  <si>
    <t>Service Starts</t>
  </si>
  <si>
    <t>Service Duration</t>
  </si>
  <si>
    <t>Service Ends</t>
  </si>
  <si>
    <t>Service Waiting Time</t>
  </si>
  <si>
    <t>Arrival Time</t>
  </si>
  <si>
    <t>Customer Arrival Time</t>
  </si>
  <si>
    <t>Customer Waiting Time</t>
  </si>
  <si>
    <t>Probability</t>
  </si>
  <si>
    <t>Inter-arrival Time</t>
  </si>
  <si>
    <t>Min</t>
  </si>
  <si>
    <t>Max</t>
  </si>
  <si>
    <t>Expected Value</t>
  </si>
  <si>
    <t>Service</t>
  </si>
  <si>
    <t>No. Heads</t>
  </si>
  <si>
    <t>No. Tails</t>
  </si>
  <si>
    <t>Percentage of Heads</t>
  </si>
  <si>
    <t>No. 1s</t>
  </si>
  <si>
    <t>No. 2s</t>
  </si>
  <si>
    <t>No. 3s</t>
  </si>
  <si>
    <t>No. 4s</t>
  </si>
  <si>
    <t>No. 5s</t>
  </si>
  <si>
    <t>No. 6s</t>
  </si>
  <si>
    <t>Jobs Completed</t>
  </si>
  <si>
    <t>Time</t>
  </si>
  <si>
    <t>Jobs Arriving</t>
  </si>
  <si>
    <t>Jobs in Queue</t>
  </si>
  <si>
    <t>Jobs Capacity</t>
  </si>
  <si>
    <t>Total Jobs Completed</t>
  </si>
  <si>
    <t>Total Jobs Left</t>
  </si>
  <si>
    <t>Unused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</si>
</sst>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Border="1"/>
    <xf numFmtId="0" fontId="0" fillId="0" borderId="0" xfId="0" applyFont="1"/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1" fillId="0" borderId="0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ont="1" applyBorder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Waiting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'Frequency Arrival and Service'!$F$16</c:f>
              <c:strCache>
                <c:ptCount val="1"/>
                <c:pt idx="0">
                  <c:v>Customer Waiting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'Frequency Arrival and Service'!$F$17:$F$36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</c:v>
                </c:pt>
                <c:pt idx="11">
                  <c:v>16</c:v>
                </c:pt>
                <c:pt idx="12">
                  <c:v>16</c:v>
                </c:pt>
                <c:pt idx="13">
                  <c:v>15</c:v>
                </c:pt>
                <c:pt idx="14">
                  <c:v>23</c:v>
                </c:pt>
                <c:pt idx="15">
                  <c:v>18</c:v>
                </c:pt>
                <c:pt idx="16">
                  <c:v>13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7-4EED-8B0A-CF7B6C713E41}"/>
            </c:ext>
          </c:extLst>
        </c:ser>
        <c:ser>
          <c:idx val="1"/>
          <c:order val="1"/>
          <c:tx>
            <c:strRef>
              <c:f>'Frequency Arrival and Service'!$G$16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'Frequency Arrival and Service'!$G$17:$G$36</c:f>
              <c:numCache>
                <c:formatCode>General</c:formatCode>
                <c:ptCount val="20"/>
                <c:pt idx="0">
                  <c:v>12</c:v>
                </c:pt>
                <c:pt idx="1">
                  <c:v>13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7</c:v>
                </c:pt>
                <c:pt idx="7">
                  <c:v>9</c:v>
                </c:pt>
                <c:pt idx="8">
                  <c:v>13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67-4EED-8B0A-CF7B6C713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92143"/>
        <c:axId val="406418895"/>
      </c:lineChart>
      <c:catAx>
        <c:axId val="416592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418895"/>
        <c:crosses val="autoZero"/>
        <c:auto val="1"/>
        <c:lblAlgn val="ctr"/>
        <c:lblOffset val="100"/>
        <c:noMultiLvlLbl val="0"/>
      </c:catAx>
      <c:valAx>
        <c:axId val="40641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59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'Frequency Arrival and Service'!$F$16</c:f>
              <c:strCache>
                <c:ptCount val="1"/>
                <c:pt idx="0">
                  <c:v>Customer Waiting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'Frequency Arrival and Service'!$F$133:$F$162</c:f>
              <c:numCache>
                <c:formatCode>General</c:formatCode>
                <c:ptCount val="30"/>
                <c:pt idx="0">
                  <c:v>69</c:v>
                </c:pt>
                <c:pt idx="1">
                  <c:v>56</c:v>
                </c:pt>
                <c:pt idx="2">
                  <c:v>68</c:v>
                </c:pt>
                <c:pt idx="3">
                  <c:v>67</c:v>
                </c:pt>
                <c:pt idx="4">
                  <c:v>58</c:v>
                </c:pt>
                <c:pt idx="5">
                  <c:v>66</c:v>
                </c:pt>
                <c:pt idx="6">
                  <c:v>57</c:v>
                </c:pt>
                <c:pt idx="7">
                  <c:v>65</c:v>
                </c:pt>
                <c:pt idx="8">
                  <c:v>72</c:v>
                </c:pt>
                <c:pt idx="9">
                  <c:v>63</c:v>
                </c:pt>
                <c:pt idx="10">
                  <c:v>75</c:v>
                </c:pt>
                <c:pt idx="11">
                  <c:v>62</c:v>
                </c:pt>
                <c:pt idx="12">
                  <c:v>65</c:v>
                </c:pt>
                <c:pt idx="13">
                  <c:v>56</c:v>
                </c:pt>
                <c:pt idx="14">
                  <c:v>51</c:v>
                </c:pt>
                <c:pt idx="15">
                  <c:v>46</c:v>
                </c:pt>
                <c:pt idx="16">
                  <c:v>54</c:v>
                </c:pt>
                <c:pt idx="17">
                  <c:v>53</c:v>
                </c:pt>
                <c:pt idx="18">
                  <c:v>61</c:v>
                </c:pt>
                <c:pt idx="19">
                  <c:v>56</c:v>
                </c:pt>
                <c:pt idx="20">
                  <c:v>63</c:v>
                </c:pt>
                <c:pt idx="21">
                  <c:v>54</c:v>
                </c:pt>
                <c:pt idx="22">
                  <c:v>53</c:v>
                </c:pt>
                <c:pt idx="23">
                  <c:v>59</c:v>
                </c:pt>
                <c:pt idx="24">
                  <c:v>58</c:v>
                </c:pt>
                <c:pt idx="25">
                  <c:v>57</c:v>
                </c:pt>
                <c:pt idx="26">
                  <c:v>52</c:v>
                </c:pt>
                <c:pt idx="27">
                  <c:v>64</c:v>
                </c:pt>
                <c:pt idx="28">
                  <c:v>72</c:v>
                </c:pt>
                <c:pt idx="29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9-4CE8-8AFA-9CB196E725CB}"/>
            </c:ext>
          </c:extLst>
        </c:ser>
        <c:ser>
          <c:idx val="1"/>
          <c:order val="1"/>
          <c:tx>
            <c:strRef>
              <c:f>'Frequency Arrival and Service'!$G$16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'Frequency Arrival and Service'!$G$133:$G$162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9-4CE8-8AFA-9CB196E72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92143"/>
        <c:axId val="406418895"/>
      </c:lineChart>
      <c:catAx>
        <c:axId val="416592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418895"/>
        <c:crosses val="autoZero"/>
        <c:auto val="1"/>
        <c:lblAlgn val="ctr"/>
        <c:lblOffset val="100"/>
        <c:noMultiLvlLbl val="0"/>
      </c:catAx>
      <c:valAx>
        <c:axId val="40641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59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 Production Tutorial Q2'!$G$16</c:f>
              <c:strCache>
                <c:ptCount val="1"/>
                <c:pt idx="0">
                  <c:v>Total Jobs Left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'Job Production Tutorial Q2'!$G$17:$G$36</c:f>
              <c:numCache>
                <c:formatCode>General</c:formatCode>
                <c:ptCount val="20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15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20</c:v>
                </c:pt>
                <c:pt idx="13">
                  <c:v>24</c:v>
                </c:pt>
                <c:pt idx="14">
                  <c:v>19</c:v>
                </c:pt>
                <c:pt idx="15">
                  <c:v>25</c:v>
                </c:pt>
                <c:pt idx="16">
                  <c:v>26</c:v>
                </c:pt>
                <c:pt idx="17">
                  <c:v>25</c:v>
                </c:pt>
                <c:pt idx="18">
                  <c:v>29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B5-4033-BA87-7B8EDC813520}"/>
            </c:ext>
          </c:extLst>
        </c:ser>
        <c:ser>
          <c:idx val="1"/>
          <c:order val="1"/>
          <c:tx>
            <c:strRef>
              <c:f>'Job Production Tutorial Q2'!$H$16</c:f>
              <c:strCache>
                <c:ptCount val="1"/>
                <c:pt idx="0">
                  <c:v>Unused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'Job Production Tutorial Q2'!$H$17:$H$36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B5-4033-BA87-7B8EDC813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750936"/>
        <c:axId val="510753232"/>
      </c:lineChart>
      <c:catAx>
        <c:axId val="510750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53232"/>
        <c:crosses val="autoZero"/>
        <c:auto val="1"/>
        <c:lblAlgn val="ctr"/>
        <c:lblOffset val="100"/>
        <c:noMultiLvlLbl val="0"/>
      </c:catAx>
      <c:valAx>
        <c:axId val="5107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5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 Production Tutorial Q2'!$G$16</c:f>
              <c:strCache>
                <c:ptCount val="1"/>
                <c:pt idx="0">
                  <c:v>Total Jobs Left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'Job Production Tutorial Q2'!$G$17:$G$162</c:f>
              <c:numCache>
                <c:formatCode>General</c:formatCode>
                <c:ptCount val="146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15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20</c:v>
                </c:pt>
                <c:pt idx="13">
                  <c:v>24</c:v>
                </c:pt>
                <c:pt idx="14">
                  <c:v>19</c:v>
                </c:pt>
                <c:pt idx="15">
                  <c:v>25</c:v>
                </c:pt>
                <c:pt idx="16">
                  <c:v>26</c:v>
                </c:pt>
                <c:pt idx="17">
                  <c:v>25</c:v>
                </c:pt>
                <c:pt idx="18">
                  <c:v>29</c:v>
                </c:pt>
                <c:pt idx="19">
                  <c:v>32</c:v>
                </c:pt>
                <c:pt idx="20">
                  <c:v>36</c:v>
                </c:pt>
                <c:pt idx="21">
                  <c:v>31</c:v>
                </c:pt>
                <c:pt idx="22">
                  <c:v>33</c:v>
                </c:pt>
                <c:pt idx="23">
                  <c:v>34</c:v>
                </c:pt>
                <c:pt idx="24">
                  <c:v>39</c:v>
                </c:pt>
                <c:pt idx="25">
                  <c:v>43</c:v>
                </c:pt>
                <c:pt idx="26">
                  <c:v>45</c:v>
                </c:pt>
                <c:pt idx="27">
                  <c:v>42</c:v>
                </c:pt>
                <c:pt idx="28">
                  <c:v>43</c:v>
                </c:pt>
                <c:pt idx="29">
                  <c:v>40</c:v>
                </c:pt>
                <c:pt idx="30">
                  <c:v>41</c:v>
                </c:pt>
                <c:pt idx="31">
                  <c:v>44</c:v>
                </c:pt>
                <c:pt idx="32">
                  <c:v>47</c:v>
                </c:pt>
                <c:pt idx="33">
                  <c:v>44</c:v>
                </c:pt>
                <c:pt idx="34">
                  <c:v>47</c:v>
                </c:pt>
                <c:pt idx="35">
                  <c:v>42</c:v>
                </c:pt>
                <c:pt idx="36">
                  <c:v>45</c:v>
                </c:pt>
                <c:pt idx="37">
                  <c:v>42</c:v>
                </c:pt>
                <c:pt idx="38">
                  <c:v>47</c:v>
                </c:pt>
                <c:pt idx="39">
                  <c:v>53</c:v>
                </c:pt>
                <c:pt idx="40">
                  <c:v>50</c:v>
                </c:pt>
                <c:pt idx="41">
                  <c:v>53</c:v>
                </c:pt>
                <c:pt idx="42">
                  <c:v>57</c:v>
                </c:pt>
                <c:pt idx="43">
                  <c:v>54</c:v>
                </c:pt>
                <c:pt idx="44">
                  <c:v>53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57</c:v>
                </c:pt>
                <c:pt idx="49">
                  <c:v>52</c:v>
                </c:pt>
                <c:pt idx="50">
                  <c:v>56</c:v>
                </c:pt>
                <c:pt idx="51">
                  <c:v>55</c:v>
                </c:pt>
                <c:pt idx="52">
                  <c:v>58</c:v>
                </c:pt>
                <c:pt idx="53">
                  <c:v>62</c:v>
                </c:pt>
                <c:pt idx="54">
                  <c:v>65</c:v>
                </c:pt>
                <c:pt idx="55">
                  <c:v>70</c:v>
                </c:pt>
                <c:pt idx="56">
                  <c:v>73</c:v>
                </c:pt>
                <c:pt idx="57">
                  <c:v>72</c:v>
                </c:pt>
                <c:pt idx="58">
                  <c:v>71</c:v>
                </c:pt>
                <c:pt idx="59">
                  <c:v>75</c:v>
                </c:pt>
                <c:pt idx="60">
                  <c:v>79</c:v>
                </c:pt>
                <c:pt idx="61">
                  <c:v>78</c:v>
                </c:pt>
                <c:pt idx="62">
                  <c:v>77</c:v>
                </c:pt>
                <c:pt idx="63">
                  <c:v>74</c:v>
                </c:pt>
                <c:pt idx="64">
                  <c:v>71</c:v>
                </c:pt>
                <c:pt idx="65">
                  <c:v>76</c:v>
                </c:pt>
                <c:pt idx="66">
                  <c:v>75</c:v>
                </c:pt>
                <c:pt idx="67">
                  <c:v>65</c:v>
                </c:pt>
                <c:pt idx="68">
                  <c:v>62</c:v>
                </c:pt>
                <c:pt idx="69">
                  <c:v>63</c:v>
                </c:pt>
                <c:pt idx="70">
                  <c:v>66</c:v>
                </c:pt>
                <c:pt idx="71">
                  <c:v>61</c:v>
                </c:pt>
                <c:pt idx="72">
                  <c:v>57</c:v>
                </c:pt>
                <c:pt idx="73">
                  <c:v>61</c:v>
                </c:pt>
                <c:pt idx="74">
                  <c:v>65</c:v>
                </c:pt>
                <c:pt idx="75">
                  <c:v>69</c:v>
                </c:pt>
                <c:pt idx="76">
                  <c:v>65</c:v>
                </c:pt>
                <c:pt idx="77">
                  <c:v>66</c:v>
                </c:pt>
                <c:pt idx="78">
                  <c:v>68</c:v>
                </c:pt>
                <c:pt idx="79">
                  <c:v>69</c:v>
                </c:pt>
                <c:pt idx="80">
                  <c:v>70</c:v>
                </c:pt>
                <c:pt idx="81">
                  <c:v>71</c:v>
                </c:pt>
                <c:pt idx="82">
                  <c:v>70</c:v>
                </c:pt>
                <c:pt idx="83">
                  <c:v>72</c:v>
                </c:pt>
                <c:pt idx="84">
                  <c:v>76</c:v>
                </c:pt>
                <c:pt idx="85">
                  <c:v>73</c:v>
                </c:pt>
                <c:pt idx="86">
                  <c:v>74</c:v>
                </c:pt>
                <c:pt idx="87">
                  <c:v>70</c:v>
                </c:pt>
                <c:pt idx="88">
                  <c:v>69</c:v>
                </c:pt>
                <c:pt idx="89">
                  <c:v>73</c:v>
                </c:pt>
                <c:pt idx="90">
                  <c:v>79</c:v>
                </c:pt>
                <c:pt idx="91">
                  <c:v>84</c:v>
                </c:pt>
                <c:pt idx="92">
                  <c:v>83</c:v>
                </c:pt>
                <c:pt idx="93">
                  <c:v>89</c:v>
                </c:pt>
                <c:pt idx="94">
                  <c:v>92</c:v>
                </c:pt>
                <c:pt idx="95">
                  <c:v>95</c:v>
                </c:pt>
                <c:pt idx="96">
                  <c:v>98</c:v>
                </c:pt>
                <c:pt idx="97">
                  <c:v>103</c:v>
                </c:pt>
                <c:pt idx="98">
                  <c:v>109</c:v>
                </c:pt>
                <c:pt idx="99">
                  <c:v>112</c:v>
                </c:pt>
                <c:pt idx="100">
                  <c:v>115</c:v>
                </c:pt>
                <c:pt idx="101">
                  <c:v>118</c:v>
                </c:pt>
                <c:pt idx="102">
                  <c:v>117</c:v>
                </c:pt>
                <c:pt idx="103">
                  <c:v>116</c:v>
                </c:pt>
                <c:pt idx="104">
                  <c:v>113</c:v>
                </c:pt>
                <c:pt idx="105">
                  <c:v>115</c:v>
                </c:pt>
                <c:pt idx="106">
                  <c:v>118</c:v>
                </c:pt>
                <c:pt idx="107">
                  <c:v>119</c:v>
                </c:pt>
                <c:pt idx="108">
                  <c:v>124</c:v>
                </c:pt>
                <c:pt idx="109">
                  <c:v>126</c:v>
                </c:pt>
                <c:pt idx="110">
                  <c:v>130</c:v>
                </c:pt>
                <c:pt idx="111">
                  <c:v>131</c:v>
                </c:pt>
                <c:pt idx="112">
                  <c:v>137</c:v>
                </c:pt>
                <c:pt idx="113">
                  <c:v>138</c:v>
                </c:pt>
                <c:pt idx="114">
                  <c:v>137</c:v>
                </c:pt>
                <c:pt idx="115">
                  <c:v>132</c:v>
                </c:pt>
                <c:pt idx="116">
                  <c:v>133</c:v>
                </c:pt>
                <c:pt idx="117">
                  <c:v>135</c:v>
                </c:pt>
                <c:pt idx="118">
                  <c:v>138</c:v>
                </c:pt>
                <c:pt idx="119">
                  <c:v>141</c:v>
                </c:pt>
                <c:pt idx="120">
                  <c:v>146</c:v>
                </c:pt>
                <c:pt idx="121">
                  <c:v>145</c:v>
                </c:pt>
                <c:pt idx="122">
                  <c:v>142</c:v>
                </c:pt>
                <c:pt idx="123">
                  <c:v>143</c:v>
                </c:pt>
                <c:pt idx="124">
                  <c:v>142</c:v>
                </c:pt>
                <c:pt idx="125">
                  <c:v>146</c:v>
                </c:pt>
                <c:pt idx="126">
                  <c:v>141</c:v>
                </c:pt>
                <c:pt idx="127">
                  <c:v>144</c:v>
                </c:pt>
                <c:pt idx="128">
                  <c:v>141</c:v>
                </c:pt>
                <c:pt idx="129">
                  <c:v>143</c:v>
                </c:pt>
                <c:pt idx="130">
                  <c:v>146</c:v>
                </c:pt>
                <c:pt idx="131">
                  <c:v>145</c:v>
                </c:pt>
                <c:pt idx="132">
                  <c:v>146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148</c:v>
                </c:pt>
                <c:pt idx="137">
                  <c:v>151</c:v>
                </c:pt>
                <c:pt idx="138">
                  <c:v>148</c:v>
                </c:pt>
                <c:pt idx="139">
                  <c:v>145</c:v>
                </c:pt>
                <c:pt idx="140">
                  <c:v>151</c:v>
                </c:pt>
                <c:pt idx="141">
                  <c:v>148</c:v>
                </c:pt>
                <c:pt idx="142">
                  <c:v>150</c:v>
                </c:pt>
                <c:pt idx="143">
                  <c:v>155</c:v>
                </c:pt>
                <c:pt idx="144">
                  <c:v>154</c:v>
                </c:pt>
                <c:pt idx="145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F-4CAE-8442-0F054AD24E8A}"/>
            </c:ext>
          </c:extLst>
        </c:ser>
        <c:ser>
          <c:idx val="1"/>
          <c:order val="1"/>
          <c:tx>
            <c:strRef>
              <c:f>'Job Production Tutorial Q2'!$H$16</c:f>
              <c:strCache>
                <c:ptCount val="1"/>
                <c:pt idx="0">
                  <c:v>Unused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'Job Production Tutorial Q2'!$H$17:$H$162</c:f>
              <c:numCache>
                <c:formatCode>General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F-4CAE-8442-0F054AD24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750936"/>
        <c:axId val="510753232"/>
      </c:lineChart>
      <c:catAx>
        <c:axId val="510750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53232"/>
        <c:crosses val="autoZero"/>
        <c:auto val="1"/>
        <c:lblAlgn val="ctr"/>
        <c:lblOffset val="100"/>
        <c:noMultiLvlLbl val="0"/>
      </c:catAx>
      <c:valAx>
        <c:axId val="5107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5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 Production Tutorial Q2 (2)'!$G$16</c:f>
              <c:strCache>
                <c:ptCount val="1"/>
                <c:pt idx="0">
                  <c:v>Total Jobs Left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'Job Production Tutorial Q2 (2)'!$G$17:$G$36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  <c:pt idx="14">
                  <c:v>5</c:v>
                </c:pt>
                <c:pt idx="15">
                  <c:v>4</c:v>
                </c:pt>
                <c:pt idx="16">
                  <c:v>5</c:v>
                </c:pt>
                <c:pt idx="17">
                  <c:v>8</c:v>
                </c:pt>
                <c:pt idx="18">
                  <c:v>9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D-434F-9C58-CC04DDFBFB42}"/>
            </c:ext>
          </c:extLst>
        </c:ser>
        <c:ser>
          <c:idx val="1"/>
          <c:order val="1"/>
          <c:tx>
            <c:strRef>
              <c:f>'Job Production Tutorial Q2 (2)'!$H$16</c:f>
              <c:strCache>
                <c:ptCount val="1"/>
                <c:pt idx="0">
                  <c:v>Unused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'Job Production Tutorial Q2 (2)'!$H$17:$H$36</c:f>
              <c:numCache>
                <c:formatCode>General</c:formatCode>
                <c:ptCount val="20"/>
                <c:pt idx="0">
                  <c:v>3</c:v>
                </c:pt>
                <c:pt idx="1">
                  <c:v>8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D-434F-9C58-CC04DDFBF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750936"/>
        <c:axId val="510753232"/>
      </c:lineChart>
      <c:catAx>
        <c:axId val="510750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53232"/>
        <c:crosses val="autoZero"/>
        <c:auto val="1"/>
        <c:lblAlgn val="ctr"/>
        <c:lblOffset val="100"/>
        <c:noMultiLvlLbl val="0"/>
      </c:catAx>
      <c:valAx>
        <c:axId val="5107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5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 Production Tutorial Q2 (2)'!$G$16</c:f>
              <c:strCache>
                <c:ptCount val="1"/>
                <c:pt idx="0">
                  <c:v>Total Jobs Left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'Job Production Tutorial Q2 (2)'!$G$17:$G$162</c:f>
              <c:numCache>
                <c:formatCode>General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  <c:pt idx="14">
                  <c:v>5</c:v>
                </c:pt>
                <c:pt idx="15">
                  <c:v>4</c:v>
                </c:pt>
                <c:pt idx="16">
                  <c:v>5</c:v>
                </c:pt>
                <c:pt idx="17">
                  <c:v>8</c:v>
                </c:pt>
                <c:pt idx="18">
                  <c:v>9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6</c:v>
                </c:pt>
                <c:pt idx="28">
                  <c:v>3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0</c:v>
                </c:pt>
                <c:pt idx="38">
                  <c:v>0</c:v>
                </c:pt>
                <c:pt idx="39">
                  <c:v>3</c:v>
                </c:pt>
                <c:pt idx="40">
                  <c:v>4</c:v>
                </c:pt>
                <c:pt idx="41">
                  <c:v>6</c:v>
                </c:pt>
                <c:pt idx="42">
                  <c:v>5</c:v>
                </c:pt>
                <c:pt idx="43">
                  <c:v>7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0</c:v>
                </c:pt>
                <c:pt idx="53">
                  <c:v>3</c:v>
                </c:pt>
                <c:pt idx="54">
                  <c:v>2</c:v>
                </c:pt>
                <c:pt idx="55">
                  <c:v>1</c:v>
                </c:pt>
                <c:pt idx="56">
                  <c:v>0</c:v>
                </c:pt>
                <c:pt idx="57">
                  <c:v>2</c:v>
                </c:pt>
                <c:pt idx="58">
                  <c:v>8</c:v>
                </c:pt>
                <c:pt idx="59">
                  <c:v>5</c:v>
                </c:pt>
                <c:pt idx="60">
                  <c:v>4</c:v>
                </c:pt>
                <c:pt idx="61">
                  <c:v>0</c:v>
                </c:pt>
                <c:pt idx="62">
                  <c:v>6</c:v>
                </c:pt>
                <c:pt idx="63">
                  <c:v>3</c:v>
                </c:pt>
                <c:pt idx="64">
                  <c:v>4</c:v>
                </c:pt>
                <c:pt idx="65">
                  <c:v>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4</c:v>
                </c:pt>
                <c:pt idx="107">
                  <c:v>10</c:v>
                </c:pt>
                <c:pt idx="108">
                  <c:v>9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</c:v>
                </c:pt>
                <c:pt idx="114">
                  <c:v>1</c:v>
                </c:pt>
                <c:pt idx="115">
                  <c:v>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1</c:v>
                </c:pt>
                <c:pt idx="134">
                  <c:v>0</c:v>
                </c:pt>
                <c:pt idx="135">
                  <c:v>2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6</c:v>
                </c:pt>
                <c:pt idx="14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F-43B8-98D0-417807C81CAB}"/>
            </c:ext>
          </c:extLst>
        </c:ser>
        <c:ser>
          <c:idx val="1"/>
          <c:order val="1"/>
          <c:tx>
            <c:strRef>
              <c:f>'Job Production Tutorial Q2 (2)'!$H$16</c:f>
              <c:strCache>
                <c:ptCount val="1"/>
                <c:pt idx="0">
                  <c:v>Unused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'Job Production Tutorial Q2 (2)'!$H$17:$H$162</c:f>
              <c:numCache>
                <c:formatCode>General</c:formatCode>
                <c:ptCount val="146"/>
                <c:pt idx="0">
                  <c:v>3</c:v>
                </c:pt>
                <c:pt idx="1">
                  <c:v>8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7</c:v>
                </c:pt>
                <c:pt idx="32">
                  <c:v>8</c:v>
                </c:pt>
                <c:pt idx="33">
                  <c:v>10</c:v>
                </c:pt>
                <c:pt idx="34">
                  <c:v>8</c:v>
                </c:pt>
                <c:pt idx="35">
                  <c:v>3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8</c:v>
                </c:pt>
                <c:pt idx="48">
                  <c:v>1</c:v>
                </c:pt>
                <c:pt idx="49">
                  <c:v>3</c:v>
                </c:pt>
                <c:pt idx="50">
                  <c:v>3</c:v>
                </c:pt>
                <c:pt idx="51">
                  <c:v>0</c:v>
                </c:pt>
                <c:pt idx="52">
                  <c:v>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6</c:v>
                </c:pt>
                <c:pt idx="69">
                  <c:v>3</c:v>
                </c:pt>
                <c:pt idx="70">
                  <c:v>6</c:v>
                </c:pt>
                <c:pt idx="71">
                  <c:v>1</c:v>
                </c:pt>
                <c:pt idx="72">
                  <c:v>5</c:v>
                </c:pt>
                <c:pt idx="73">
                  <c:v>0</c:v>
                </c:pt>
                <c:pt idx="74">
                  <c:v>0</c:v>
                </c:pt>
                <c:pt idx="75">
                  <c:v>3</c:v>
                </c:pt>
                <c:pt idx="76">
                  <c:v>0</c:v>
                </c:pt>
                <c:pt idx="77">
                  <c:v>1</c:v>
                </c:pt>
                <c:pt idx="78">
                  <c:v>3</c:v>
                </c:pt>
                <c:pt idx="79">
                  <c:v>6</c:v>
                </c:pt>
                <c:pt idx="80">
                  <c:v>8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8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3</c:v>
                </c:pt>
                <c:pt idx="93">
                  <c:v>5</c:v>
                </c:pt>
                <c:pt idx="94">
                  <c:v>1</c:v>
                </c:pt>
                <c:pt idx="95">
                  <c:v>0</c:v>
                </c:pt>
                <c:pt idx="96">
                  <c:v>7</c:v>
                </c:pt>
                <c:pt idx="97">
                  <c:v>1</c:v>
                </c:pt>
                <c:pt idx="98">
                  <c:v>3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3</c:v>
                </c:pt>
                <c:pt idx="103">
                  <c:v>1</c:v>
                </c:pt>
                <c:pt idx="104">
                  <c:v>6</c:v>
                </c:pt>
                <c:pt idx="105">
                  <c:v>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5</c:v>
                </c:pt>
                <c:pt idx="111">
                  <c:v>3</c:v>
                </c:pt>
                <c:pt idx="112">
                  <c:v>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</c:v>
                </c:pt>
                <c:pt idx="117">
                  <c:v>8</c:v>
                </c:pt>
                <c:pt idx="118">
                  <c:v>8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0</c:v>
                </c:pt>
                <c:pt idx="123">
                  <c:v>6</c:v>
                </c:pt>
                <c:pt idx="124">
                  <c:v>5</c:v>
                </c:pt>
                <c:pt idx="125">
                  <c:v>1</c:v>
                </c:pt>
                <c:pt idx="126">
                  <c:v>1</c:v>
                </c:pt>
                <c:pt idx="127">
                  <c:v>8</c:v>
                </c:pt>
                <c:pt idx="128">
                  <c:v>8</c:v>
                </c:pt>
                <c:pt idx="129">
                  <c:v>3</c:v>
                </c:pt>
                <c:pt idx="130">
                  <c:v>8</c:v>
                </c:pt>
                <c:pt idx="131">
                  <c:v>3</c:v>
                </c:pt>
                <c:pt idx="132">
                  <c:v>0</c:v>
                </c:pt>
                <c:pt idx="133">
                  <c:v>0</c:v>
                </c:pt>
                <c:pt idx="134">
                  <c:v>2</c:v>
                </c:pt>
                <c:pt idx="135">
                  <c:v>0</c:v>
                </c:pt>
                <c:pt idx="136">
                  <c:v>0</c:v>
                </c:pt>
                <c:pt idx="137">
                  <c:v>2</c:v>
                </c:pt>
                <c:pt idx="138">
                  <c:v>3</c:v>
                </c:pt>
                <c:pt idx="139">
                  <c:v>3</c:v>
                </c:pt>
                <c:pt idx="140">
                  <c:v>6</c:v>
                </c:pt>
                <c:pt idx="141">
                  <c:v>3</c:v>
                </c:pt>
                <c:pt idx="142">
                  <c:v>0</c:v>
                </c:pt>
                <c:pt idx="143">
                  <c:v>2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5F-43B8-98D0-417807C81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750936"/>
        <c:axId val="510753232"/>
      </c:lineChart>
      <c:catAx>
        <c:axId val="510750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53232"/>
        <c:crosses val="autoZero"/>
        <c:auto val="1"/>
        <c:lblAlgn val="ctr"/>
        <c:lblOffset val="100"/>
        <c:noMultiLvlLbl val="0"/>
      </c:catAx>
      <c:valAx>
        <c:axId val="5107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5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Waiting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'Frozen Example'!$F$16</c:f>
              <c:strCache>
                <c:ptCount val="1"/>
                <c:pt idx="0">
                  <c:v>Customer Waiting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'Frozen Example'!$F$17:$F$36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3</c:v>
                </c:pt>
                <c:pt idx="4">
                  <c:v>9</c:v>
                </c:pt>
                <c:pt idx="5">
                  <c:v>12</c:v>
                </c:pt>
                <c:pt idx="6">
                  <c:v>14</c:v>
                </c:pt>
                <c:pt idx="7">
                  <c:v>20</c:v>
                </c:pt>
                <c:pt idx="8">
                  <c:v>19</c:v>
                </c:pt>
                <c:pt idx="9">
                  <c:v>31</c:v>
                </c:pt>
                <c:pt idx="10">
                  <c:v>34</c:v>
                </c:pt>
                <c:pt idx="11">
                  <c:v>25</c:v>
                </c:pt>
                <c:pt idx="12">
                  <c:v>20</c:v>
                </c:pt>
                <c:pt idx="13">
                  <c:v>15</c:v>
                </c:pt>
                <c:pt idx="14">
                  <c:v>17</c:v>
                </c:pt>
                <c:pt idx="15">
                  <c:v>27</c:v>
                </c:pt>
                <c:pt idx="16">
                  <c:v>35</c:v>
                </c:pt>
                <c:pt idx="17">
                  <c:v>22</c:v>
                </c:pt>
                <c:pt idx="18">
                  <c:v>13</c:v>
                </c:pt>
                <c:pt idx="1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E-44CB-ACED-0F379A053A24}"/>
            </c:ext>
          </c:extLst>
        </c:ser>
        <c:ser>
          <c:idx val="1"/>
          <c:order val="1"/>
          <c:tx>
            <c:strRef>
              <c:f>'Frozen Example'!$G$16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'Frozen Example'!$G$17:$G$36</c:f>
              <c:numCache>
                <c:formatCode>General</c:formatCode>
                <c:ptCount val="20"/>
                <c:pt idx="0">
                  <c:v>20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E-44CB-ACED-0F379A053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547999"/>
        <c:axId val="489460127"/>
      </c:lineChart>
      <c:catAx>
        <c:axId val="383547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60127"/>
        <c:crosses val="autoZero"/>
        <c:auto val="1"/>
        <c:lblAlgn val="ctr"/>
        <c:lblOffset val="100"/>
        <c:noMultiLvlLbl val="0"/>
      </c:catAx>
      <c:valAx>
        <c:axId val="48946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4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Waiting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'Frozen Example'!$F$16</c:f>
              <c:strCache>
                <c:ptCount val="1"/>
                <c:pt idx="0">
                  <c:v>Customer Waiting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'Frozen Example'!$F$17:$F$162</c:f>
              <c:numCache>
                <c:formatCode>General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3</c:v>
                </c:pt>
                <c:pt idx="4">
                  <c:v>9</c:v>
                </c:pt>
                <c:pt idx="5">
                  <c:v>12</c:v>
                </c:pt>
                <c:pt idx="6">
                  <c:v>14</c:v>
                </c:pt>
                <c:pt idx="7">
                  <c:v>20</c:v>
                </c:pt>
                <c:pt idx="8">
                  <c:v>19</c:v>
                </c:pt>
                <c:pt idx="9">
                  <c:v>31</c:v>
                </c:pt>
                <c:pt idx="10">
                  <c:v>34</c:v>
                </c:pt>
                <c:pt idx="11">
                  <c:v>25</c:v>
                </c:pt>
                <c:pt idx="12">
                  <c:v>20</c:v>
                </c:pt>
                <c:pt idx="13">
                  <c:v>15</c:v>
                </c:pt>
                <c:pt idx="14">
                  <c:v>17</c:v>
                </c:pt>
                <c:pt idx="15">
                  <c:v>27</c:v>
                </c:pt>
                <c:pt idx="16">
                  <c:v>35</c:v>
                </c:pt>
                <c:pt idx="17">
                  <c:v>22</c:v>
                </c:pt>
                <c:pt idx="18">
                  <c:v>13</c:v>
                </c:pt>
                <c:pt idx="19">
                  <c:v>16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12</c:v>
                </c:pt>
                <c:pt idx="33">
                  <c:v>11</c:v>
                </c:pt>
                <c:pt idx="34">
                  <c:v>19</c:v>
                </c:pt>
                <c:pt idx="35">
                  <c:v>14</c:v>
                </c:pt>
                <c:pt idx="36">
                  <c:v>17</c:v>
                </c:pt>
                <c:pt idx="37">
                  <c:v>12</c:v>
                </c:pt>
                <c:pt idx="38">
                  <c:v>26</c:v>
                </c:pt>
                <c:pt idx="39">
                  <c:v>25</c:v>
                </c:pt>
                <c:pt idx="40">
                  <c:v>24</c:v>
                </c:pt>
                <c:pt idx="41">
                  <c:v>31</c:v>
                </c:pt>
                <c:pt idx="42">
                  <c:v>30</c:v>
                </c:pt>
                <c:pt idx="43">
                  <c:v>25</c:v>
                </c:pt>
                <c:pt idx="44">
                  <c:v>41</c:v>
                </c:pt>
                <c:pt idx="45">
                  <c:v>44</c:v>
                </c:pt>
                <c:pt idx="46">
                  <c:v>31</c:v>
                </c:pt>
                <c:pt idx="47">
                  <c:v>26</c:v>
                </c:pt>
                <c:pt idx="48">
                  <c:v>29</c:v>
                </c:pt>
                <c:pt idx="49">
                  <c:v>28</c:v>
                </c:pt>
                <c:pt idx="50">
                  <c:v>31</c:v>
                </c:pt>
                <c:pt idx="51">
                  <c:v>31</c:v>
                </c:pt>
                <c:pt idx="52">
                  <c:v>37</c:v>
                </c:pt>
                <c:pt idx="53">
                  <c:v>40</c:v>
                </c:pt>
                <c:pt idx="54">
                  <c:v>48</c:v>
                </c:pt>
                <c:pt idx="55">
                  <c:v>48</c:v>
                </c:pt>
                <c:pt idx="56">
                  <c:v>39</c:v>
                </c:pt>
                <c:pt idx="57">
                  <c:v>30</c:v>
                </c:pt>
                <c:pt idx="58">
                  <c:v>37</c:v>
                </c:pt>
                <c:pt idx="59">
                  <c:v>45</c:v>
                </c:pt>
                <c:pt idx="60">
                  <c:v>40</c:v>
                </c:pt>
                <c:pt idx="61">
                  <c:v>54</c:v>
                </c:pt>
                <c:pt idx="62">
                  <c:v>49</c:v>
                </c:pt>
                <c:pt idx="63">
                  <c:v>36</c:v>
                </c:pt>
                <c:pt idx="64">
                  <c:v>31</c:v>
                </c:pt>
                <c:pt idx="65">
                  <c:v>33</c:v>
                </c:pt>
                <c:pt idx="66">
                  <c:v>20</c:v>
                </c:pt>
                <c:pt idx="67">
                  <c:v>23</c:v>
                </c:pt>
                <c:pt idx="68">
                  <c:v>14</c:v>
                </c:pt>
                <c:pt idx="69">
                  <c:v>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14</c:v>
                </c:pt>
                <c:pt idx="77">
                  <c:v>13</c:v>
                </c:pt>
                <c:pt idx="78">
                  <c:v>12</c:v>
                </c:pt>
                <c:pt idx="79">
                  <c:v>10</c:v>
                </c:pt>
                <c:pt idx="80">
                  <c:v>14</c:v>
                </c:pt>
                <c:pt idx="81">
                  <c:v>13</c:v>
                </c:pt>
                <c:pt idx="82">
                  <c:v>8</c:v>
                </c:pt>
                <c:pt idx="83">
                  <c:v>7</c:v>
                </c:pt>
                <c:pt idx="84">
                  <c:v>9</c:v>
                </c:pt>
                <c:pt idx="85">
                  <c:v>9</c:v>
                </c:pt>
                <c:pt idx="86">
                  <c:v>25</c:v>
                </c:pt>
                <c:pt idx="87">
                  <c:v>37</c:v>
                </c:pt>
                <c:pt idx="88">
                  <c:v>40</c:v>
                </c:pt>
                <c:pt idx="89">
                  <c:v>27</c:v>
                </c:pt>
                <c:pt idx="90">
                  <c:v>39</c:v>
                </c:pt>
                <c:pt idx="91">
                  <c:v>26</c:v>
                </c:pt>
                <c:pt idx="92">
                  <c:v>28</c:v>
                </c:pt>
                <c:pt idx="93">
                  <c:v>30</c:v>
                </c:pt>
                <c:pt idx="94">
                  <c:v>29</c:v>
                </c:pt>
                <c:pt idx="95">
                  <c:v>20</c:v>
                </c:pt>
                <c:pt idx="96">
                  <c:v>28</c:v>
                </c:pt>
                <c:pt idx="97">
                  <c:v>35</c:v>
                </c:pt>
                <c:pt idx="98">
                  <c:v>30</c:v>
                </c:pt>
                <c:pt idx="99">
                  <c:v>30</c:v>
                </c:pt>
                <c:pt idx="100">
                  <c:v>25</c:v>
                </c:pt>
                <c:pt idx="101">
                  <c:v>20</c:v>
                </c:pt>
                <c:pt idx="102">
                  <c:v>28</c:v>
                </c:pt>
                <c:pt idx="103">
                  <c:v>23</c:v>
                </c:pt>
                <c:pt idx="104">
                  <c:v>26</c:v>
                </c:pt>
                <c:pt idx="105">
                  <c:v>26</c:v>
                </c:pt>
                <c:pt idx="106">
                  <c:v>29</c:v>
                </c:pt>
                <c:pt idx="107">
                  <c:v>39</c:v>
                </c:pt>
                <c:pt idx="108">
                  <c:v>42</c:v>
                </c:pt>
                <c:pt idx="109">
                  <c:v>33</c:v>
                </c:pt>
                <c:pt idx="110">
                  <c:v>40</c:v>
                </c:pt>
                <c:pt idx="111">
                  <c:v>43</c:v>
                </c:pt>
                <c:pt idx="112">
                  <c:v>38</c:v>
                </c:pt>
                <c:pt idx="113">
                  <c:v>41</c:v>
                </c:pt>
                <c:pt idx="114">
                  <c:v>36</c:v>
                </c:pt>
                <c:pt idx="115">
                  <c:v>36</c:v>
                </c:pt>
                <c:pt idx="116">
                  <c:v>27</c:v>
                </c:pt>
                <c:pt idx="117">
                  <c:v>31</c:v>
                </c:pt>
                <c:pt idx="118">
                  <c:v>18</c:v>
                </c:pt>
                <c:pt idx="119">
                  <c:v>18</c:v>
                </c:pt>
                <c:pt idx="120">
                  <c:v>13</c:v>
                </c:pt>
                <c:pt idx="121">
                  <c:v>21</c:v>
                </c:pt>
                <c:pt idx="122">
                  <c:v>31</c:v>
                </c:pt>
                <c:pt idx="123">
                  <c:v>26</c:v>
                </c:pt>
                <c:pt idx="124">
                  <c:v>21</c:v>
                </c:pt>
                <c:pt idx="125">
                  <c:v>12</c:v>
                </c:pt>
                <c:pt idx="126">
                  <c:v>11</c:v>
                </c:pt>
                <c:pt idx="127">
                  <c:v>11</c:v>
                </c:pt>
                <c:pt idx="128">
                  <c:v>6</c:v>
                </c:pt>
                <c:pt idx="129">
                  <c:v>1</c:v>
                </c:pt>
                <c:pt idx="130">
                  <c:v>9</c:v>
                </c:pt>
                <c:pt idx="131">
                  <c:v>8</c:v>
                </c:pt>
                <c:pt idx="132">
                  <c:v>16</c:v>
                </c:pt>
                <c:pt idx="133">
                  <c:v>15</c:v>
                </c:pt>
                <c:pt idx="134">
                  <c:v>10</c:v>
                </c:pt>
                <c:pt idx="135">
                  <c:v>20</c:v>
                </c:pt>
                <c:pt idx="136">
                  <c:v>11</c:v>
                </c:pt>
                <c:pt idx="137">
                  <c:v>6</c:v>
                </c:pt>
                <c:pt idx="138">
                  <c:v>16</c:v>
                </c:pt>
                <c:pt idx="139">
                  <c:v>15</c:v>
                </c:pt>
                <c:pt idx="140">
                  <c:v>14</c:v>
                </c:pt>
                <c:pt idx="141">
                  <c:v>18</c:v>
                </c:pt>
                <c:pt idx="142">
                  <c:v>5</c:v>
                </c:pt>
                <c:pt idx="143">
                  <c:v>8</c:v>
                </c:pt>
                <c:pt idx="144">
                  <c:v>3</c:v>
                </c:pt>
                <c:pt idx="14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4-495E-8866-416494ABA7E2}"/>
            </c:ext>
          </c:extLst>
        </c:ser>
        <c:ser>
          <c:idx val="1"/>
          <c:order val="1"/>
          <c:tx>
            <c:strRef>
              <c:f>'Frozen Example'!$G$16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'Frozen Example'!$G$17:$G$162</c:f>
              <c:numCache>
                <c:formatCode>General</c:formatCode>
                <c:ptCount val="146"/>
                <c:pt idx="0">
                  <c:v>20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5</c:v>
                </c:pt>
                <c:pt idx="23">
                  <c:v>0</c:v>
                </c:pt>
                <c:pt idx="24">
                  <c:v>1</c:v>
                </c:pt>
                <c:pt idx="25">
                  <c:v>13</c:v>
                </c:pt>
                <c:pt idx="26">
                  <c:v>0</c:v>
                </c:pt>
                <c:pt idx="27">
                  <c:v>3</c:v>
                </c:pt>
                <c:pt idx="28">
                  <c:v>13</c:v>
                </c:pt>
                <c:pt idx="29">
                  <c:v>5</c:v>
                </c:pt>
                <c:pt idx="30">
                  <c:v>5</c:v>
                </c:pt>
                <c:pt idx="31">
                  <c:v>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</c:v>
                </c:pt>
                <c:pt idx="71">
                  <c:v>9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4-495E-8866-416494ABA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547999"/>
        <c:axId val="489460127"/>
      </c:lineChart>
      <c:catAx>
        <c:axId val="383547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60127"/>
        <c:crosses val="autoZero"/>
        <c:auto val="1"/>
        <c:lblAlgn val="ctr"/>
        <c:lblOffset val="100"/>
        <c:noMultiLvlLbl val="0"/>
      </c:catAx>
      <c:valAx>
        <c:axId val="48946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4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'Coin Toss'!$E$1</c:f>
              <c:strCache>
                <c:ptCount val="1"/>
                <c:pt idx="0">
                  <c:v>Percentage of Heads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'Coin Toss'!$E$2:$E$501</c:f>
              <c:numCache>
                <c:formatCode>General</c:formatCode>
                <c:ptCount val="50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75</c:v>
                </c:pt>
                <c:pt idx="4">
                  <c:v>60</c:v>
                </c:pt>
                <c:pt idx="5">
                  <c:v>50</c:v>
                </c:pt>
                <c:pt idx="6">
                  <c:v>42.857142857142854</c:v>
                </c:pt>
                <c:pt idx="7">
                  <c:v>50</c:v>
                </c:pt>
                <c:pt idx="8">
                  <c:v>55.555555555555557</c:v>
                </c:pt>
                <c:pt idx="9">
                  <c:v>60</c:v>
                </c:pt>
                <c:pt idx="10">
                  <c:v>63.636363636363633</c:v>
                </c:pt>
                <c:pt idx="11">
                  <c:v>66.666666666666657</c:v>
                </c:pt>
                <c:pt idx="12">
                  <c:v>69.230769230769226</c:v>
                </c:pt>
                <c:pt idx="13">
                  <c:v>71.428571428571431</c:v>
                </c:pt>
                <c:pt idx="14">
                  <c:v>66.666666666666657</c:v>
                </c:pt>
                <c:pt idx="15">
                  <c:v>62.5</c:v>
                </c:pt>
                <c:pt idx="16">
                  <c:v>64.705882352941174</c:v>
                </c:pt>
                <c:pt idx="17">
                  <c:v>66.666666666666657</c:v>
                </c:pt>
                <c:pt idx="18">
                  <c:v>68.421052631578945</c:v>
                </c:pt>
                <c:pt idx="19">
                  <c:v>70</c:v>
                </c:pt>
                <c:pt idx="20">
                  <c:v>66.666666666666657</c:v>
                </c:pt>
                <c:pt idx="21">
                  <c:v>63.636363636363633</c:v>
                </c:pt>
                <c:pt idx="22">
                  <c:v>65.217391304347828</c:v>
                </c:pt>
                <c:pt idx="23">
                  <c:v>62.5</c:v>
                </c:pt>
                <c:pt idx="24">
                  <c:v>60</c:v>
                </c:pt>
                <c:pt idx="25">
                  <c:v>61.53846153846154</c:v>
                </c:pt>
                <c:pt idx="26">
                  <c:v>59.259259259259252</c:v>
                </c:pt>
                <c:pt idx="27">
                  <c:v>57.142857142857139</c:v>
                </c:pt>
                <c:pt idx="28">
                  <c:v>58.620689655172406</c:v>
                </c:pt>
                <c:pt idx="29">
                  <c:v>60</c:v>
                </c:pt>
                <c:pt idx="30">
                  <c:v>58.064516129032263</c:v>
                </c:pt>
                <c:pt idx="31">
                  <c:v>56.25</c:v>
                </c:pt>
                <c:pt idx="32">
                  <c:v>57.575757575757578</c:v>
                </c:pt>
                <c:pt idx="33">
                  <c:v>55.882352941176471</c:v>
                </c:pt>
                <c:pt idx="34">
                  <c:v>57.142857142857139</c:v>
                </c:pt>
                <c:pt idx="35">
                  <c:v>55.555555555555557</c:v>
                </c:pt>
                <c:pt idx="36">
                  <c:v>56.756756756756758</c:v>
                </c:pt>
                <c:pt idx="37">
                  <c:v>57.894736842105267</c:v>
                </c:pt>
                <c:pt idx="38">
                  <c:v>56.410256410256409</c:v>
                </c:pt>
                <c:pt idx="39">
                  <c:v>55.000000000000007</c:v>
                </c:pt>
                <c:pt idx="40">
                  <c:v>53.658536585365859</c:v>
                </c:pt>
                <c:pt idx="41">
                  <c:v>52.380952380952387</c:v>
                </c:pt>
                <c:pt idx="42">
                  <c:v>53.488372093023251</c:v>
                </c:pt>
                <c:pt idx="43">
                  <c:v>52.272727272727273</c:v>
                </c:pt>
                <c:pt idx="44">
                  <c:v>53.333333333333336</c:v>
                </c:pt>
                <c:pt idx="45">
                  <c:v>54.347826086956516</c:v>
                </c:pt>
                <c:pt idx="46">
                  <c:v>55.319148936170215</c:v>
                </c:pt>
                <c:pt idx="47">
                  <c:v>54.166666666666664</c:v>
                </c:pt>
                <c:pt idx="48">
                  <c:v>55.102040816326522</c:v>
                </c:pt>
                <c:pt idx="49">
                  <c:v>56.000000000000007</c:v>
                </c:pt>
                <c:pt idx="50">
                  <c:v>56.862745098039213</c:v>
                </c:pt>
                <c:pt idx="51">
                  <c:v>55.769230769230774</c:v>
                </c:pt>
                <c:pt idx="52">
                  <c:v>56.60377358490566</c:v>
                </c:pt>
                <c:pt idx="53">
                  <c:v>57.407407407407405</c:v>
                </c:pt>
                <c:pt idx="54">
                  <c:v>56.36363636363636</c:v>
                </c:pt>
                <c:pt idx="55">
                  <c:v>55.357142857142861</c:v>
                </c:pt>
                <c:pt idx="56">
                  <c:v>56.140350877192979</c:v>
                </c:pt>
                <c:pt idx="57">
                  <c:v>55.172413793103445</c:v>
                </c:pt>
                <c:pt idx="58">
                  <c:v>55.932203389830505</c:v>
                </c:pt>
                <c:pt idx="59">
                  <c:v>55.000000000000007</c:v>
                </c:pt>
                <c:pt idx="60">
                  <c:v>55.737704918032783</c:v>
                </c:pt>
                <c:pt idx="61">
                  <c:v>56.451612903225815</c:v>
                </c:pt>
                <c:pt idx="62">
                  <c:v>57.142857142857139</c:v>
                </c:pt>
                <c:pt idx="63">
                  <c:v>57.8125</c:v>
                </c:pt>
                <c:pt idx="64">
                  <c:v>58.461538461538467</c:v>
                </c:pt>
                <c:pt idx="65">
                  <c:v>59.090909090909093</c:v>
                </c:pt>
                <c:pt idx="66">
                  <c:v>58.208955223880601</c:v>
                </c:pt>
                <c:pt idx="67">
                  <c:v>58.82352941176471</c:v>
                </c:pt>
                <c:pt idx="68">
                  <c:v>57.971014492753625</c:v>
                </c:pt>
                <c:pt idx="69">
                  <c:v>58.571428571428577</c:v>
                </c:pt>
                <c:pt idx="70">
                  <c:v>57.74647887323944</c:v>
                </c:pt>
                <c:pt idx="71">
                  <c:v>58.333333333333336</c:v>
                </c:pt>
                <c:pt idx="72">
                  <c:v>57.534246575342465</c:v>
                </c:pt>
                <c:pt idx="73">
                  <c:v>56.756756756756758</c:v>
                </c:pt>
                <c:pt idx="74">
                  <c:v>56.000000000000007</c:v>
                </c:pt>
                <c:pt idx="75">
                  <c:v>55.26315789473685</c:v>
                </c:pt>
                <c:pt idx="76">
                  <c:v>54.54545454545454</c:v>
                </c:pt>
                <c:pt idx="77">
                  <c:v>55.128205128205131</c:v>
                </c:pt>
                <c:pt idx="78">
                  <c:v>55.696202531645568</c:v>
                </c:pt>
                <c:pt idx="79">
                  <c:v>55.000000000000007</c:v>
                </c:pt>
                <c:pt idx="80">
                  <c:v>55.555555555555557</c:v>
                </c:pt>
                <c:pt idx="81">
                  <c:v>56.09756097560976</c:v>
                </c:pt>
                <c:pt idx="82">
                  <c:v>55.421686746987952</c:v>
                </c:pt>
                <c:pt idx="83">
                  <c:v>54.761904761904766</c:v>
                </c:pt>
                <c:pt idx="84">
                  <c:v>55.294117647058826</c:v>
                </c:pt>
                <c:pt idx="85">
                  <c:v>55.813953488372093</c:v>
                </c:pt>
                <c:pt idx="86">
                  <c:v>55.172413793103445</c:v>
                </c:pt>
                <c:pt idx="87">
                  <c:v>54.54545454545454</c:v>
                </c:pt>
                <c:pt idx="88">
                  <c:v>53.932584269662918</c:v>
                </c:pt>
                <c:pt idx="89">
                  <c:v>53.333333333333336</c:v>
                </c:pt>
                <c:pt idx="90">
                  <c:v>53.846153846153847</c:v>
                </c:pt>
                <c:pt idx="91">
                  <c:v>53.260869565217398</c:v>
                </c:pt>
                <c:pt idx="92">
                  <c:v>52.688172043010752</c:v>
                </c:pt>
                <c:pt idx="93">
                  <c:v>52.12765957446809</c:v>
                </c:pt>
                <c:pt idx="94">
                  <c:v>51.578947368421055</c:v>
                </c:pt>
                <c:pt idx="95">
                  <c:v>51.041666666666664</c:v>
                </c:pt>
                <c:pt idx="96">
                  <c:v>51.546391752577314</c:v>
                </c:pt>
                <c:pt idx="97">
                  <c:v>51.020408163265309</c:v>
                </c:pt>
                <c:pt idx="98">
                  <c:v>50.505050505050505</c:v>
                </c:pt>
                <c:pt idx="99">
                  <c:v>51</c:v>
                </c:pt>
                <c:pt idx="100">
                  <c:v>51.485148514851488</c:v>
                </c:pt>
                <c:pt idx="101">
                  <c:v>51.960784313725497</c:v>
                </c:pt>
                <c:pt idx="102">
                  <c:v>51.456310679611647</c:v>
                </c:pt>
                <c:pt idx="103">
                  <c:v>50.96153846153846</c:v>
                </c:pt>
                <c:pt idx="104">
                  <c:v>50.476190476190474</c:v>
                </c:pt>
                <c:pt idx="105">
                  <c:v>50.943396226415096</c:v>
                </c:pt>
                <c:pt idx="106">
                  <c:v>51.401869158878498</c:v>
                </c:pt>
                <c:pt idx="107">
                  <c:v>50.925925925925931</c:v>
                </c:pt>
                <c:pt idx="108">
                  <c:v>51.37614678899083</c:v>
                </c:pt>
                <c:pt idx="109">
                  <c:v>50.909090909090907</c:v>
                </c:pt>
                <c:pt idx="110">
                  <c:v>50.450450450450447</c:v>
                </c:pt>
                <c:pt idx="111">
                  <c:v>50</c:v>
                </c:pt>
                <c:pt idx="112">
                  <c:v>50.442477876106196</c:v>
                </c:pt>
                <c:pt idx="113">
                  <c:v>50</c:v>
                </c:pt>
                <c:pt idx="114">
                  <c:v>49.565217391304351</c:v>
                </c:pt>
                <c:pt idx="115">
                  <c:v>49.137931034482754</c:v>
                </c:pt>
                <c:pt idx="116">
                  <c:v>48.717948717948715</c:v>
                </c:pt>
                <c:pt idx="117">
                  <c:v>48.305084745762713</c:v>
                </c:pt>
                <c:pt idx="118">
                  <c:v>48.739495798319325</c:v>
                </c:pt>
                <c:pt idx="119">
                  <c:v>48.333333333333336</c:v>
                </c:pt>
                <c:pt idx="120">
                  <c:v>48.760330578512395</c:v>
                </c:pt>
                <c:pt idx="121">
                  <c:v>48.360655737704917</c:v>
                </c:pt>
                <c:pt idx="122">
                  <c:v>48.780487804878049</c:v>
                </c:pt>
                <c:pt idx="123">
                  <c:v>49.193548387096776</c:v>
                </c:pt>
                <c:pt idx="124">
                  <c:v>49.6</c:v>
                </c:pt>
                <c:pt idx="125">
                  <c:v>50</c:v>
                </c:pt>
                <c:pt idx="126">
                  <c:v>50.393700787401571</c:v>
                </c:pt>
                <c:pt idx="127">
                  <c:v>50.78125</c:v>
                </c:pt>
                <c:pt idx="128">
                  <c:v>51.162790697674424</c:v>
                </c:pt>
                <c:pt idx="129">
                  <c:v>51.538461538461533</c:v>
                </c:pt>
                <c:pt idx="130">
                  <c:v>51.145038167938928</c:v>
                </c:pt>
                <c:pt idx="131">
                  <c:v>51.515151515151516</c:v>
                </c:pt>
                <c:pt idx="132">
                  <c:v>51.127819548872175</c:v>
                </c:pt>
                <c:pt idx="133">
                  <c:v>51.492537313432841</c:v>
                </c:pt>
                <c:pt idx="134">
                  <c:v>51.111111111111107</c:v>
                </c:pt>
                <c:pt idx="135">
                  <c:v>51.470588235294116</c:v>
                </c:pt>
                <c:pt idx="136">
                  <c:v>51.824817518248182</c:v>
                </c:pt>
                <c:pt idx="137">
                  <c:v>51.449275362318836</c:v>
                </c:pt>
                <c:pt idx="138">
                  <c:v>51.798561151079134</c:v>
                </c:pt>
                <c:pt idx="139">
                  <c:v>51.428571428571423</c:v>
                </c:pt>
                <c:pt idx="140">
                  <c:v>51.773049645390067</c:v>
                </c:pt>
                <c:pt idx="141">
                  <c:v>52.112676056338024</c:v>
                </c:pt>
                <c:pt idx="142">
                  <c:v>51.748251748251747</c:v>
                </c:pt>
                <c:pt idx="143">
                  <c:v>51.388888888888886</c:v>
                </c:pt>
                <c:pt idx="144">
                  <c:v>51.724137931034484</c:v>
                </c:pt>
                <c:pt idx="145">
                  <c:v>52.054794520547944</c:v>
                </c:pt>
                <c:pt idx="146">
                  <c:v>52.380952380952387</c:v>
                </c:pt>
                <c:pt idx="147">
                  <c:v>52.027027027027032</c:v>
                </c:pt>
                <c:pt idx="148">
                  <c:v>52.348993288590606</c:v>
                </c:pt>
                <c:pt idx="149">
                  <c:v>52</c:v>
                </c:pt>
                <c:pt idx="150">
                  <c:v>51.655629139072843</c:v>
                </c:pt>
                <c:pt idx="151">
                  <c:v>51.315789473684212</c:v>
                </c:pt>
                <c:pt idx="152">
                  <c:v>50.980392156862742</c:v>
                </c:pt>
                <c:pt idx="153">
                  <c:v>50.649350649350644</c:v>
                </c:pt>
                <c:pt idx="154">
                  <c:v>50.322580645161288</c:v>
                </c:pt>
                <c:pt idx="155">
                  <c:v>50.641025641025635</c:v>
                </c:pt>
                <c:pt idx="156">
                  <c:v>50.318471337579616</c:v>
                </c:pt>
                <c:pt idx="157">
                  <c:v>50</c:v>
                </c:pt>
                <c:pt idx="158">
                  <c:v>49.685534591194966</c:v>
                </c:pt>
                <c:pt idx="159">
                  <c:v>49.375</c:v>
                </c:pt>
                <c:pt idx="160">
                  <c:v>49.689440993788821</c:v>
                </c:pt>
                <c:pt idx="161">
                  <c:v>49.382716049382715</c:v>
                </c:pt>
                <c:pt idx="162">
                  <c:v>49.079754601226995</c:v>
                </c:pt>
                <c:pt idx="163">
                  <c:v>49.390243902439025</c:v>
                </c:pt>
                <c:pt idx="164">
                  <c:v>49.696969696969695</c:v>
                </c:pt>
                <c:pt idx="165">
                  <c:v>50</c:v>
                </c:pt>
                <c:pt idx="166">
                  <c:v>50.299401197604787</c:v>
                </c:pt>
                <c:pt idx="167">
                  <c:v>50.595238095238095</c:v>
                </c:pt>
                <c:pt idx="168">
                  <c:v>50.295857988165679</c:v>
                </c:pt>
                <c:pt idx="169">
                  <c:v>50</c:v>
                </c:pt>
                <c:pt idx="170">
                  <c:v>49.707602339181285</c:v>
                </c:pt>
                <c:pt idx="171">
                  <c:v>49.418604651162788</c:v>
                </c:pt>
                <c:pt idx="172">
                  <c:v>49.132947976878611</c:v>
                </c:pt>
                <c:pt idx="173">
                  <c:v>48.850574712643677</c:v>
                </c:pt>
                <c:pt idx="174">
                  <c:v>49.142857142857146</c:v>
                </c:pt>
                <c:pt idx="175">
                  <c:v>49.43181818181818</c:v>
                </c:pt>
                <c:pt idx="176">
                  <c:v>49.152542372881356</c:v>
                </c:pt>
                <c:pt idx="177">
                  <c:v>49.438202247191008</c:v>
                </c:pt>
                <c:pt idx="178">
                  <c:v>49.162011173184354</c:v>
                </c:pt>
                <c:pt idx="179">
                  <c:v>48.888888888888886</c:v>
                </c:pt>
                <c:pt idx="180">
                  <c:v>48.618784530386741</c:v>
                </c:pt>
                <c:pt idx="181">
                  <c:v>48.35164835164835</c:v>
                </c:pt>
                <c:pt idx="182">
                  <c:v>48.087431693989068</c:v>
                </c:pt>
                <c:pt idx="183">
                  <c:v>48.369565217391305</c:v>
                </c:pt>
                <c:pt idx="184">
                  <c:v>48.648648648648653</c:v>
                </c:pt>
                <c:pt idx="185">
                  <c:v>48.387096774193552</c:v>
                </c:pt>
                <c:pt idx="186">
                  <c:v>48.128342245989302</c:v>
                </c:pt>
                <c:pt idx="187">
                  <c:v>48.404255319148938</c:v>
                </c:pt>
                <c:pt idx="188">
                  <c:v>48.148148148148145</c:v>
                </c:pt>
                <c:pt idx="189">
                  <c:v>47.89473684210526</c:v>
                </c:pt>
                <c:pt idx="190">
                  <c:v>48.167539267015705</c:v>
                </c:pt>
                <c:pt idx="191">
                  <c:v>47.916666666666671</c:v>
                </c:pt>
                <c:pt idx="192">
                  <c:v>48.186528497409327</c:v>
                </c:pt>
                <c:pt idx="193">
                  <c:v>48.453608247422679</c:v>
                </c:pt>
                <c:pt idx="194">
                  <c:v>48.205128205128204</c:v>
                </c:pt>
                <c:pt idx="195">
                  <c:v>48.469387755102041</c:v>
                </c:pt>
                <c:pt idx="196">
                  <c:v>48.223350253807105</c:v>
                </c:pt>
                <c:pt idx="197">
                  <c:v>47.979797979797979</c:v>
                </c:pt>
                <c:pt idx="198">
                  <c:v>47.738693467336688</c:v>
                </c:pt>
                <c:pt idx="199">
                  <c:v>47.5</c:v>
                </c:pt>
                <c:pt idx="200">
                  <c:v>47.761194029850742</c:v>
                </c:pt>
                <c:pt idx="201">
                  <c:v>48.019801980198018</c:v>
                </c:pt>
                <c:pt idx="202">
                  <c:v>47.783251231527096</c:v>
                </c:pt>
                <c:pt idx="203">
                  <c:v>47.549019607843135</c:v>
                </c:pt>
                <c:pt idx="204">
                  <c:v>47.804878048780488</c:v>
                </c:pt>
                <c:pt idx="205">
                  <c:v>47.572815533980581</c:v>
                </c:pt>
                <c:pt idx="206">
                  <c:v>47.826086956521742</c:v>
                </c:pt>
                <c:pt idx="207">
                  <c:v>48.07692307692308</c:v>
                </c:pt>
                <c:pt idx="208">
                  <c:v>48.325358851674643</c:v>
                </c:pt>
                <c:pt idx="209">
                  <c:v>48.095238095238095</c:v>
                </c:pt>
                <c:pt idx="210">
                  <c:v>48.341232227488149</c:v>
                </c:pt>
                <c:pt idx="211">
                  <c:v>48.584905660377359</c:v>
                </c:pt>
                <c:pt idx="212">
                  <c:v>48.356807511737088</c:v>
                </c:pt>
                <c:pt idx="213">
                  <c:v>48.598130841121495</c:v>
                </c:pt>
                <c:pt idx="214">
                  <c:v>48.837209302325576</c:v>
                </c:pt>
                <c:pt idx="215">
                  <c:v>49.074074074074076</c:v>
                </c:pt>
                <c:pt idx="216">
                  <c:v>48.847926267281103</c:v>
                </c:pt>
                <c:pt idx="217">
                  <c:v>48.623853211009177</c:v>
                </c:pt>
                <c:pt idx="218">
                  <c:v>48.858447488584474</c:v>
                </c:pt>
                <c:pt idx="219">
                  <c:v>48.63636363636364</c:v>
                </c:pt>
                <c:pt idx="220">
                  <c:v>48.41628959276018</c:v>
                </c:pt>
                <c:pt idx="221">
                  <c:v>48.198198198198199</c:v>
                </c:pt>
                <c:pt idx="222">
                  <c:v>47.982062780269061</c:v>
                </c:pt>
                <c:pt idx="223">
                  <c:v>48.214285714285715</c:v>
                </c:pt>
                <c:pt idx="224">
                  <c:v>48.444444444444443</c:v>
                </c:pt>
                <c:pt idx="225">
                  <c:v>48.230088495575217</c:v>
                </c:pt>
                <c:pt idx="226">
                  <c:v>48.017621145374449</c:v>
                </c:pt>
                <c:pt idx="227">
                  <c:v>47.807017543859651</c:v>
                </c:pt>
                <c:pt idx="228">
                  <c:v>47.598253275109172</c:v>
                </c:pt>
                <c:pt idx="229">
                  <c:v>47.826086956521742</c:v>
                </c:pt>
                <c:pt idx="230">
                  <c:v>47.619047619047613</c:v>
                </c:pt>
                <c:pt idx="231">
                  <c:v>47.844827586206897</c:v>
                </c:pt>
                <c:pt idx="232">
                  <c:v>48.068669527896994</c:v>
                </c:pt>
                <c:pt idx="233">
                  <c:v>47.863247863247864</c:v>
                </c:pt>
                <c:pt idx="234">
                  <c:v>47.659574468085111</c:v>
                </c:pt>
                <c:pt idx="235">
                  <c:v>47.881355932203391</c:v>
                </c:pt>
                <c:pt idx="236">
                  <c:v>47.679324894514771</c:v>
                </c:pt>
                <c:pt idx="237">
                  <c:v>47.899159663865547</c:v>
                </c:pt>
                <c:pt idx="238">
                  <c:v>48.11715481171548</c:v>
                </c:pt>
                <c:pt idx="239">
                  <c:v>47.916666666666671</c:v>
                </c:pt>
                <c:pt idx="240">
                  <c:v>48.132780082987551</c:v>
                </c:pt>
                <c:pt idx="241">
                  <c:v>47.933884297520663</c:v>
                </c:pt>
                <c:pt idx="242">
                  <c:v>48.148148148148145</c:v>
                </c:pt>
                <c:pt idx="243">
                  <c:v>47.950819672131146</c:v>
                </c:pt>
                <c:pt idx="244">
                  <c:v>47.755102040816325</c:v>
                </c:pt>
                <c:pt idx="245">
                  <c:v>47.967479674796749</c:v>
                </c:pt>
                <c:pt idx="246">
                  <c:v>48.178137651821864</c:v>
                </c:pt>
                <c:pt idx="247">
                  <c:v>48.387096774193552</c:v>
                </c:pt>
                <c:pt idx="248">
                  <c:v>48.594377510040161</c:v>
                </c:pt>
                <c:pt idx="249">
                  <c:v>48.4</c:v>
                </c:pt>
                <c:pt idx="250">
                  <c:v>48.605577689243027</c:v>
                </c:pt>
                <c:pt idx="251">
                  <c:v>48.412698412698411</c:v>
                </c:pt>
                <c:pt idx="252">
                  <c:v>48.221343873517789</c:v>
                </c:pt>
                <c:pt idx="253">
                  <c:v>48.425196850393696</c:v>
                </c:pt>
                <c:pt idx="254">
                  <c:v>48.627450980392155</c:v>
                </c:pt>
                <c:pt idx="255">
                  <c:v>48.828125</c:v>
                </c:pt>
                <c:pt idx="256">
                  <c:v>48.638132295719842</c:v>
                </c:pt>
                <c:pt idx="257">
                  <c:v>48.449612403100772</c:v>
                </c:pt>
                <c:pt idx="258">
                  <c:v>48.648648648648653</c:v>
                </c:pt>
                <c:pt idx="259">
                  <c:v>48.846153846153847</c:v>
                </c:pt>
                <c:pt idx="260">
                  <c:v>49.042145593869726</c:v>
                </c:pt>
                <c:pt idx="261">
                  <c:v>48.854961832061065</c:v>
                </c:pt>
                <c:pt idx="262">
                  <c:v>48.669201520912544</c:v>
                </c:pt>
                <c:pt idx="263">
                  <c:v>48.484848484848484</c:v>
                </c:pt>
                <c:pt idx="264">
                  <c:v>48.679245283018865</c:v>
                </c:pt>
                <c:pt idx="265">
                  <c:v>48.872180451127818</c:v>
                </c:pt>
                <c:pt idx="266">
                  <c:v>49.063670411985015</c:v>
                </c:pt>
                <c:pt idx="267">
                  <c:v>49.253731343283583</c:v>
                </c:pt>
                <c:pt idx="268">
                  <c:v>49.070631970260223</c:v>
                </c:pt>
                <c:pt idx="269">
                  <c:v>49.25925925925926</c:v>
                </c:pt>
                <c:pt idx="270">
                  <c:v>49.446494464944649</c:v>
                </c:pt>
                <c:pt idx="271">
                  <c:v>49.264705882352942</c:v>
                </c:pt>
                <c:pt idx="272">
                  <c:v>49.450549450549453</c:v>
                </c:pt>
                <c:pt idx="273">
                  <c:v>49.270072992700733</c:v>
                </c:pt>
                <c:pt idx="274">
                  <c:v>49.090909090909093</c:v>
                </c:pt>
                <c:pt idx="275">
                  <c:v>48.913043478260867</c:v>
                </c:pt>
                <c:pt idx="276">
                  <c:v>49.097472924187727</c:v>
                </c:pt>
                <c:pt idx="277">
                  <c:v>48.920863309352519</c:v>
                </c:pt>
                <c:pt idx="278">
                  <c:v>48.74551971326165</c:v>
                </c:pt>
                <c:pt idx="279">
                  <c:v>48.571428571428569</c:v>
                </c:pt>
                <c:pt idx="280">
                  <c:v>48.754448398576514</c:v>
                </c:pt>
                <c:pt idx="281">
                  <c:v>48.936170212765958</c:v>
                </c:pt>
                <c:pt idx="282">
                  <c:v>49.116607773851591</c:v>
                </c:pt>
                <c:pt idx="283">
                  <c:v>49.295774647887328</c:v>
                </c:pt>
                <c:pt idx="284">
                  <c:v>49.122807017543856</c:v>
                </c:pt>
                <c:pt idx="285">
                  <c:v>48.951048951048953</c:v>
                </c:pt>
                <c:pt idx="286">
                  <c:v>48.780487804878049</c:v>
                </c:pt>
                <c:pt idx="287">
                  <c:v>48.958333333333329</c:v>
                </c:pt>
                <c:pt idx="288">
                  <c:v>48.788927335640139</c:v>
                </c:pt>
                <c:pt idx="289">
                  <c:v>48.96551724137931</c:v>
                </c:pt>
                <c:pt idx="290">
                  <c:v>49.140893470790374</c:v>
                </c:pt>
                <c:pt idx="291">
                  <c:v>49.315068493150683</c:v>
                </c:pt>
                <c:pt idx="292">
                  <c:v>49.146757679180887</c:v>
                </c:pt>
                <c:pt idx="293">
                  <c:v>48.979591836734691</c:v>
                </c:pt>
                <c:pt idx="294">
                  <c:v>48.813559322033903</c:v>
                </c:pt>
                <c:pt idx="295">
                  <c:v>48.648648648648653</c:v>
                </c:pt>
                <c:pt idx="296">
                  <c:v>48.821548821548824</c:v>
                </c:pt>
                <c:pt idx="297">
                  <c:v>48.993288590604031</c:v>
                </c:pt>
                <c:pt idx="298">
                  <c:v>48.829431438127088</c:v>
                </c:pt>
                <c:pt idx="299">
                  <c:v>48.666666666666671</c:v>
                </c:pt>
                <c:pt idx="300">
                  <c:v>48.504983388704318</c:v>
                </c:pt>
                <c:pt idx="301">
                  <c:v>48.344370860927157</c:v>
                </c:pt>
                <c:pt idx="302">
                  <c:v>48.184818481848183</c:v>
                </c:pt>
                <c:pt idx="303">
                  <c:v>48.026315789473685</c:v>
                </c:pt>
                <c:pt idx="304">
                  <c:v>48.196721311475407</c:v>
                </c:pt>
                <c:pt idx="305">
                  <c:v>48.366013071895424</c:v>
                </c:pt>
                <c:pt idx="306">
                  <c:v>48.208469055374593</c:v>
                </c:pt>
                <c:pt idx="307">
                  <c:v>48.376623376623378</c:v>
                </c:pt>
                <c:pt idx="308">
                  <c:v>48.220064724919091</c:v>
                </c:pt>
                <c:pt idx="309">
                  <c:v>48.064516129032256</c:v>
                </c:pt>
                <c:pt idx="310">
                  <c:v>47.90996784565916</c:v>
                </c:pt>
                <c:pt idx="311">
                  <c:v>47.756410256410255</c:v>
                </c:pt>
                <c:pt idx="312">
                  <c:v>47.923322683706068</c:v>
                </c:pt>
                <c:pt idx="313">
                  <c:v>48.089171974522294</c:v>
                </c:pt>
                <c:pt idx="314">
                  <c:v>47.936507936507937</c:v>
                </c:pt>
                <c:pt idx="315">
                  <c:v>47.784810126582279</c:v>
                </c:pt>
                <c:pt idx="316">
                  <c:v>47.634069400630914</c:v>
                </c:pt>
                <c:pt idx="317">
                  <c:v>47.79874213836478</c:v>
                </c:pt>
                <c:pt idx="318">
                  <c:v>47.648902821316611</c:v>
                </c:pt>
                <c:pt idx="319">
                  <c:v>47.8125</c:v>
                </c:pt>
                <c:pt idx="320">
                  <c:v>47.975077881619939</c:v>
                </c:pt>
                <c:pt idx="321">
                  <c:v>47.826086956521742</c:v>
                </c:pt>
                <c:pt idx="322">
                  <c:v>47.987616099071204</c:v>
                </c:pt>
                <c:pt idx="323">
                  <c:v>47.839506172839506</c:v>
                </c:pt>
                <c:pt idx="324">
                  <c:v>48</c:v>
                </c:pt>
                <c:pt idx="325">
                  <c:v>48.159509202453989</c:v>
                </c:pt>
                <c:pt idx="326">
                  <c:v>48.01223241590214</c:v>
                </c:pt>
                <c:pt idx="327">
                  <c:v>48.170731707317074</c:v>
                </c:pt>
                <c:pt idx="328">
                  <c:v>48.328267477203646</c:v>
                </c:pt>
                <c:pt idx="329">
                  <c:v>48.484848484848484</c:v>
                </c:pt>
                <c:pt idx="330">
                  <c:v>48.338368580060425</c:v>
                </c:pt>
                <c:pt idx="331">
                  <c:v>48.192771084337352</c:v>
                </c:pt>
                <c:pt idx="332">
                  <c:v>48.348348348348345</c:v>
                </c:pt>
                <c:pt idx="333">
                  <c:v>48.203592814371262</c:v>
                </c:pt>
                <c:pt idx="334">
                  <c:v>48.35820895522388</c:v>
                </c:pt>
                <c:pt idx="335">
                  <c:v>48.511904761904759</c:v>
                </c:pt>
                <c:pt idx="336">
                  <c:v>48.664688427299701</c:v>
                </c:pt>
                <c:pt idx="337">
                  <c:v>48.520710059171599</c:v>
                </c:pt>
                <c:pt idx="338">
                  <c:v>48.377581120943951</c:v>
                </c:pt>
                <c:pt idx="339">
                  <c:v>48.529411764705884</c:v>
                </c:pt>
                <c:pt idx="340">
                  <c:v>48.680351906158357</c:v>
                </c:pt>
                <c:pt idx="341">
                  <c:v>48.538011695906427</c:v>
                </c:pt>
                <c:pt idx="342">
                  <c:v>48.688046647230323</c:v>
                </c:pt>
                <c:pt idx="343">
                  <c:v>48.837209302325576</c:v>
                </c:pt>
                <c:pt idx="344">
                  <c:v>48.695652173913047</c:v>
                </c:pt>
                <c:pt idx="345">
                  <c:v>48.843930635838149</c:v>
                </c:pt>
                <c:pt idx="346">
                  <c:v>48.703170028818441</c:v>
                </c:pt>
                <c:pt idx="347">
                  <c:v>48.563218390804593</c:v>
                </c:pt>
                <c:pt idx="348">
                  <c:v>48.424068767908309</c:v>
                </c:pt>
                <c:pt idx="349">
                  <c:v>48.571428571428569</c:v>
                </c:pt>
                <c:pt idx="350">
                  <c:v>48.433048433048434</c:v>
                </c:pt>
                <c:pt idx="351">
                  <c:v>48.579545454545453</c:v>
                </c:pt>
                <c:pt idx="352">
                  <c:v>48.725212464589234</c:v>
                </c:pt>
                <c:pt idx="353">
                  <c:v>48.587570621468927</c:v>
                </c:pt>
                <c:pt idx="354">
                  <c:v>48.450704225352112</c:v>
                </c:pt>
                <c:pt idx="355">
                  <c:v>48.314606741573037</c:v>
                </c:pt>
                <c:pt idx="356">
                  <c:v>48.179271708683473</c:v>
                </c:pt>
                <c:pt idx="357">
                  <c:v>48.324022346368714</c:v>
                </c:pt>
                <c:pt idx="358">
                  <c:v>48.467966573816156</c:v>
                </c:pt>
                <c:pt idx="359">
                  <c:v>48.611111111111107</c:v>
                </c:pt>
                <c:pt idx="360">
                  <c:v>48.75346260387812</c:v>
                </c:pt>
                <c:pt idx="361">
                  <c:v>48.618784530386741</c:v>
                </c:pt>
                <c:pt idx="362">
                  <c:v>48.760330578512395</c:v>
                </c:pt>
                <c:pt idx="363">
                  <c:v>48.901098901098898</c:v>
                </c:pt>
                <c:pt idx="364">
                  <c:v>48.767123287671232</c:v>
                </c:pt>
                <c:pt idx="365">
                  <c:v>48.907103825136609</c:v>
                </c:pt>
                <c:pt idx="366">
                  <c:v>48.77384196185286</c:v>
                </c:pt>
                <c:pt idx="367">
                  <c:v>48.913043478260867</c:v>
                </c:pt>
                <c:pt idx="368">
                  <c:v>48.780487804878049</c:v>
                </c:pt>
                <c:pt idx="369">
                  <c:v>48.918918918918919</c:v>
                </c:pt>
                <c:pt idx="370">
                  <c:v>48.787061994609168</c:v>
                </c:pt>
                <c:pt idx="371">
                  <c:v>48.924731182795696</c:v>
                </c:pt>
                <c:pt idx="372">
                  <c:v>49.061662198391417</c:v>
                </c:pt>
                <c:pt idx="373">
                  <c:v>49.19786096256685</c:v>
                </c:pt>
                <c:pt idx="374">
                  <c:v>49.333333333333336</c:v>
                </c:pt>
                <c:pt idx="375">
                  <c:v>49.202127659574465</c:v>
                </c:pt>
                <c:pt idx="376">
                  <c:v>49.071618037135281</c:v>
                </c:pt>
                <c:pt idx="377">
                  <c:v>48.941798941798943</c:v>
                </c:pt>
                <c:pt idx="378">
                  <c:v>48.812664907651715</c:v>
                </c:pt>
                <c:pt idx="379">
                  <c:v>48.947368421052637</c:v>
                </c:pt>
                <c:pt idx="380">
                  <c:v>49.081364829396321</c:v>
                </c:pt>
                <c:pt idx="381">
                  <c:v>48.952879581151834</c:v>
                </c:pt>
                <c:pt idx="382">
                  <c:v>48.825065274151434</c:v>
                </c:pt>
                <c:pt idx="383">
                  <c:v>48.958333333333329</c:v>
                </c:pt>
                <c:pt idx="384">
                  <c:v>49.090909090909093</c:v>
                </c:pt>
                <c:pt idx="385">
                  <c:v>48.96373056994819</c:v>
                </c:pt>
                <c:pt idx="386">
                  <c:v>49.095607235142118</c:v>
                </c:pt>
                <c:pt idx="387">
                  <c:v>48.96907216494845</c:v>
                </c:pt>
                <c:pt idx="388">
                  <c:v>48.843187660668377</c:v>
                </c:pt>
                <c:pt idx="389">
                  <c:v>48.974358974358971</c:v>
                </c:pt>
                <c:pt idx="390">
                  <c:v>48.849104859335043</c:v>
                </c:pt>
                <c:pt idx="391">
                  <c:v>48.979591836734691</c:v>
                </c:pt>
                <c:pt idx="392">
                  <c:v>49.109414758269722</c:v>
                </c:pt>
                <c:pt idx="393">
                  <c:v>49.238578680203041</c:v>
                </c:pt>
                <c:pt idx="394">
                  <c:v>49.11392405063291</c:v>
                </c:pt>
                <c:pt idx="395">
                  <c:v>48.98989898989899</c:v>
                </c:pt>
                <c:pt idx="396">
                  <c:v>48.866498740554157</c:v>
                </c:pt>
                <c:pt idx="397">
                  <c:v>48.743718592964825</c:v>
                </c:pt>
                <c:pt idx="398">
                  <c:v>48.872180451127818</c:v>
                </c:pt>
                <c:pt idx="399">
                  <c:v>49</c:v>
                </c:pt>
                <c:pt idx="400">
                  <c:v>49.127182044887782</c:v>
                </c:pt>
                <c:pt idx="401">
                  <c:v>49.004975124378106</c:v>
                </c:pt>
                <c:pt idx="402">
                  <c:v>48.883374689826304</c:v>
                </c:pt>
                <c:pt idx="403">
                  <c:v>48.762376237623762</c:v>
                </c:pt>
                <c:pt idx="404">
                  <c:v>48.641975308641975</c:v>
                </c:pt>
                <c:pt idx="405">
                  <c:v>48.768472906403943</c:v>
                </c:pt>
                <c:pt idx="406">
                  <c:v>48.648648648648653</c:v>
                </c:pt>
                <c:pt idx="407">
                  <c:v>48.774509803921568</c:v>
                </c:pt>
                <c:pt idx="408">
                  <c:v>48.655256723716384</c:v>
                </c:pt>
                <c:pt idx="409">
                  <c:v>48.536585365853654</c:v>
                </c:pt>
                <c:pt idx="410">
                  <c:v>48.418491484184919</c:v>
                </c:pt>
                <c:pt idx="411">
                  <c:v>48.300970873786412</c:v>
                </c:pt>
                <c:pt idx="412">
                  <c:v>48.184019370460049</c:v>
                </c:pt>
                <c:pt idx="413">
                  <c:v>48.067632850241552</c:v>
                </c:pt>
                <c:pt idx="414">
                  <c:v>47.951807228915662</c:v>
                </c:pt>
                <c:pt idx="415">
                  <c:v>48.07692307692308</c:v>
                </c:pt>
                <c:pt idx="416">
                  <c:v>48.201438848920866</c:v>
                </c:pt>
                <c:pt idx="417">
                  <c:v>48.325358851674643</c:v>
                </c:pt>
                <c:pt idx="418">
                  <c:v>48.21002386634845</c:v>
                </c:pt>
                <c:pt idx="419">
                  <c:v>48.095238095238095</c:v>
                </c:pt>
                <c:pt idx="420">
                  <c:v>47.980997624703086</c:v>
                </c:pt>
                <c:pt idx="421">
                  <c:v>48.104265402843602</c:v>
                </c:pt>
                <c:pt idx="422">
                  <c:v>47.990543735224591</c:v>
                </c:pt>
                <c:pt idx="423">
                  <c:v>48.113207547169814</c:v>
                </c:pt>
                <c:pt idx="424">
                  <c:v>48</c:v>
                </c:pt>
                <c:pt idx="425">
                  <c:v>47.887323943661968</c:v>
                </c:pt>
                <c:pt idx="426">
                  <c:v>47.775175644028103</c:v>
                </c:pt>
                <c:pt idx="427">
                  <c:v>47.663551401869157</c:v>
                </c:pt>
                <c:pt idx="428">
                  <c:v>47.552447552447553</c:v>
                </c:pt>
                <c:pt idx="429">
                  <c:v>47.441860465116278</c:v>
                </c:pt>
                <c:pt idx="430">
                  <c:v>47.331786542923432</c:v>
                </c:pt>
                <c:pt idx="431">
                  <c:v>47.222222222222221</c:v>
                </c:pt>
                <c:pt idx="432">
                  <c:v>47.113163972286372</c:v>
                </c:pt>
                <c:pt idx="433">
                  <c:v>47.004608294930875</c:v>
                </c:pt>
                <c:pt idx="434">
                  <c:v>47.126436781609193</c:v>
                </c:pt>
                <c:pt idx="435">
                  <c:v>47.018348623853214</c:v>
                </c:pt>
                <c:pt idx="436">
                  <c:v>47.139588100686495</c:v>
                </c:pt>
                <c:pt idx="437">
                  <c:v>47.031963470319631</c:v>
                </c:pt>
                <c:pt idx="438">
                  <c:v>47.15261958997722</c:v>
                </c:pt>
                <c:pt idx="439">
                  <c:v>47.272727272727273</c:v>
                </c:pt>
                <c:pt idx="440">
                  <c:v>47.392290249433103</c:v>
                </c:pt>
                <c:pt idx="441">
                  <c:v>47.511312217194565</c:v>
                </c:pt>
                <c:pt idx="442">
                  <c:v>47.629796839729124</c:v>
                </c:pt>
                <c:pt idx="443">
                  <c:v>47.747747747747752</c:v>
                </c:pt>
                <c:pt idx="444">
                  <c:v>47.865168539325843</c:v>
                </c:pt>
                <c:pt idx="445">
                  <c:v>47.757847533632287</c:v>
                </c:pt>
                <c:pt idx="446">
                  <c:v>47.874720357941833</c:v>
                </c:pt>
                <c:pt idx="447">
                  <c:v>47.767857142857146</c:v>
                </c:pt>
                <c:pt idx="448">
                  <c:v>47.884187082405347</c:v>
                </c:pt>
                <c:pt idx="449">
                  <c:v>47.777777777777779</c:v>
                </c:pt>
                <c:pt idx="450">
                  <c:v>47.671840354767184</c:v>
                </c:pt>
                <c:pt idx="451">
                  <c:v>47.787610619469028</c:v>
                </c:pt>
                <c:pt idx="452">
                  <c:v>47.902869757174393</c:v>
                </c:pt>
                <c:pt idx="453">
                  <c:v>48.017621145374449</c:v>
                </c:pt>
                <c:pt idx="454">
                  <c:v>48.131868131868131</c:v>
                </c:pt>
                <c:pt idx="455">
                  <c:v>48.026315789473685</c:v>
                </c:pt>
                <c:pt idx="456">
                  <c:v>48.140043763676147</c:v>
                </c:pt>
                <c:pt idx="457">
                  <c:v>48.034934497816593</c:v>
                </c:pt>
                <c:pt idx="458">
                  <c:v>48.148148148148145</c:v>
                </c:pt>
                <c:pt idx="459">
                  <c:v>48.260869565217391</c:v>
                </c:pt>
                <c:pt idx="460">
                  <c:v>48.156182212581342</c:v>
                </c:pt>
                <c:pt idx="461">
                  <c:v>48.051948051948052</c:v>
                </c:pt>
                <c:pt idx="462">
                  <c:v>48.16414686825054</c:v>
                </c:pt>
                <c:pt idx="463">
                  <c:v>48.060344827586206</c:v>
                </c:pt>
                <c:pt idx="464">
                  <c:v>48.172043010752688</c:v>
                </c:pt>
                <c:pt idx="465">
                  <c:v>48.068669527896994</c:v>
                </c:pt>
                <c:pt idx="466">
                  <c:v>47.965738758029978</c:v>
                </c:pt>
                <c:pt idx="467">
                  <c:v>48.07692307692308</c:v>
                </c:pt>
                <c:pt idx="468">
                  <c:v>48.187633262260128</c:v>
                </c:pt>
                <c:pt idx="469">
                  <c:v>48.297872340425528</c:v>
                </c:pt>
                <c:pt idx="470">
                  <c:v>48.407643312101911</c:v>
                </c:pt>
                <c:pt idx="471">
                  <c:v>48.516949152542374</c:v>
                </c:pt>
                <c:pt idx="472">
                  <c:v>48.414376321353068</c:v>
                </c:pt>
                <c:pt idx="473">
                  <c:v>48.312236286919827</c:v>
                </c:pt>
                <c:pt idx="474">
                  <c:v>48.210526315789473</c:v>
                </c:pt>
                <c:pt idx="475">
                  <c:v>48.319327731092436</c:v>
                </c:pt>
                <c:pt idx="476">
                  <c:v>48.427672955974842</c:v>
                </c:pt>
                <c:pt idx="477">
                  <c:v>48.535564853556487</c:v>
                </c:pt>
                <c:pt idx="478">
                  <c:v>48.434237995824638</c:v>
                </c:pt>
                <c:pt idx="479">
                  <c:v>48.333333333333336</c:v>
                </c:pt>
                <c:pt idx="480">
                  <c:v>48.440748440748443</c:v>
                </c:pt>
                <c:pt idx="481">
                  <c:v>48.54771784232365</c:v>
                </c:pt>
                <c:pt idx="482">
                  <c:v>48.654244306418221</c:v>
                </c:pt>
                <c:pt idx="483">
                  <c:v>48.553719008264466</c:v>
                </c:pt>
                <c:pt idx="484">
                  <c:v>48.659793814432987</c:v>
                </c:pt>
                <c:pt idx="485">
                  <c:v>48.76543209876543</c:v>
                </c:pt>
                <c:pt idx="486">
                  <c:v>48.870636550308014</c:v>
                </c:pt>
                <c:pt idx="487">
                  <c:v>48.975409836065573</c:v>
                </c:pt>
                <c:pt idx="488">
                  <c:v>48.875255623721884</c:v>
                </c:pt>
                <c:pt idx="489">
                  <c:v>48.775510204081634</c:v>
                </c:pt>
                <c:pt idx="490">
                  <c:v>48.676171079429736</c:v>
                </c:pt>
                <c:pt idx="491">
                  <c:v>48.780487804878049</c:v>
                </c:pt>
                <c:pt idx="492">
                  <c:v>48.681541582150103</c:v>
                </c:pt>
                <c:pt idx="493">
                  <c:v>48.785425101214571</c:v>
                </c:pt>
                <c:pt idx="494">
                  <c:v>48.888888888888886</c:v>
                </c:pt>
                <c:pt idx="495">
                  <c:v>48.991935483870968</c:v>
                </c:pt>
                <c:pt idx="496">
                  <c:v>49.094567404426556</c:v>
                </c:pt>
                <c:pt idx="497">
                  <c:v>48.99598393574297</c:v>
                </c:pt>
                <c:pt idx="498">
                  <c:v>49.098196392785567</c:v>
                </c:pt>
                <c:pt idx="499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F-43D3-B644-EB4948B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034927"/>
        <c:axId val="492250543"/>
      </c:lineChart>
      <c:catAx>
        <c:axId val="384034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250543"/>
        <c:crosses val="autoZero"/>
        <c:auto val="1"/>
        <c:lblAlgn val="ctr"/>
        <c:lblOffset val="100"/>
        <c:noMultiLvlLbl val="0"/>
      </c:catAx>
      <c:valAx>
        <c:axId val="49225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03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</a:t>
            </a:r>
            <a:r>
              <a:rPr lang="en-GB" baseline="0"/>
              <a:t> of Dice Outcomes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Dice!$I$1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Dice!$I$2:$I$501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3.7037037037037033</c:v>
                </c:pt>
                <c:pt idx="27">
                  <c:v>3.5714285714285712</c:v>
                </c:pt>
                <c:pt idx="28">
                  <c:v>3.4482758620689653</c:v>
                </c:pt>
                <c:pt idx="29">
                  <c:v>3.3333333333333335</c:v>
                </c:pt>
                <c:pt idx="30">
                  <c:v>6.4516129032258061</c:v>
                </c:pt>
                <c:pt idx="31">
                  <c:v>6.25</c:v>
                </c:pt>
                <c:pt idx="32">
                  <c:v>6.0606060606060606</c:v>
                </c:pt>
                <c:pt idx="33">
                  <c:v>5.8823529411764701</c:v>
                </c:pt>
                <c:pt idx="34">
                  <c:v>5.7142857142857144</c:v>
                </c:pt>
                <c:pt idx="35">
                  <c:v>5.5555555555555554</c:v>
                </c:pt>
                <c:pt idx="36">
                  <c:v>5.4054054054054053</c:v>
                </c:pt>
                <c:pt idx="37">
                  <c:v>5.2631578947368416</c:v>
                </c:pt>
                <c:pt idx="38">
                  <c:v>7.6923076923076925</c:v>
                </c:pt>
                <c:pt idx="39">
                  <c:v>7.5</c:v>
                </c:pt>
                <c:pt idx="40">
                  <c:v>7.3170731707317067</c:v>
                </c:pt>
                <c:pt idx="41">
                  <c:v>7.1428571428571423</c:v>
                </c:pt>
                <c:pt idx="42">
                  <c:v>6.9767441860465116</c:v>
                </c:pt>
                <c:pt idx="43">
                  <c:v>6.8181818181818175</c:v>
                </c:pt>
                <c:pt idx="44">
                  <c:v>8.8888888888888893</c:v>
                </c:pt>
                <c:pt idx="45">
                  <c:v>10.869565217391305</c:v>
                </c:pt>
                <c:pt idx="46">
                  <c:v>10.638297872340425</c:v>
                </c:pt>
                <c:pt idx="47">
                  <c:v>10.416666666666668</c:v>
                </c:pt>
                <c:pt idx="48">
                  <c:v>10.204081632653061</c:v>
                </c:pt>
                <c:pt idx="49">
                  <c:v>10</c:v>
                </c:pt>
                <c:pt idx="50">
                  <c:v>9.8039215686274517</c:v>
                </c:pt>
                <c:pt idx="51">
                  <c:v>9.6153846153846168</c:v>
                </c:pt>
                <c:pt idx="52">
                  <c:v>9.433962264150944</c:v>
                </c:pt>
                <c:pt idx="53">
                  <c:v>9.2592592592592595</c:v>
                </c:pt>
                <c:pt idx="54">
                  <c:v>9.0909090909090917</c:v>
                </c:pt>
                <c:pt idx="55">
                  <c:v>10.714285714285714</c:v>
                </c:pt>
                <c:pt idx="56">
                  <c:v>10.526315789473683</c:v>
                </c:pt>
                <c:pt idx="57">
                  <c:v>10.344827586206897</c:v>
                </c:pt>
                <c:pt idx="58">
                  <c:v>10.16949152542373</c:v>
                </c:pt>
                <c:pt idx="59">
                  <c:v>10</c:v>
                </c:pt>
                <c:pt idx="60">
                  <c:v>9.8360655737704921</c:v>
                </c:pt>
                <c:pt idx="61">
                  <c:v>9.67741935483871</c:v>
                </c:pt>
                <c:pt idx="62">
                  <c:v>9.5238095238095237</c:v>
                </c:pt>
                <c:pt idx="63">
                  <c:v>9.375</c:v>
                </c:pt>
                <c:pt idx="64">
                  <c:v>9.2307692307692317</c:v>
                </c:pt>
                <c:pt idx="65">
                  <c:v>9.0909090909090917</c:v>
                </c:pt>
                <c:pt idx="66">
                  <c:v>8.9552238805970141</c:v>
                </c:pt>
                <c:pt idx="67">
                  <c:v>8.8235294117647065</c:v>
                </c:pt>
                <c:pt idx="68">
                  <c:v>8.695652173913043</c:v>
                </c:pt>
                <c:pt idx="69">
                  <c:v>8.5714285714285712</c:v>
                </c:pt>
                <c:pt idx="70">
                  <c:v>8.4507042253521121</c:v>
                </c:pt>
                <c:pt idx="71">
                  <c:v>9.7222222222222232</c:v>
                </c:pt>
                <c:pt idx="72">
                  <c:v>9.5890410958904102</c:v>
                </c:pt>
                <c:pt idx="73">
                  <c:v>9.4594594594594597</c:v>
                </c:pt>
                <c:pt idx="74">
                  <c:v>9.3333333333333339</c:v>
                </c:pt>
                <c:pt idx="75">
                  <c:v>9.2105263157894726</c:v>
                </c:pt>
                <c:pt idx="76">
                  <c:v>9.0909090909090917</c:v>
                </c:pt>
                <c:pt idx="77">
                  <c:v>10.256410256410255</c:v>
                </c:pt>
                <c:pt idx="78">
                  <c:v>10.126582278481013</c:v>
                </c:pt>
                <c:pt idx="79">
                  <c:v>10</c:v>
                </c:pt>
                <c:pt idx="80">
                  <c:v>9.8765432098765427</c:v>
                </c:pt>
                <c:pt idx="81">
                  <c:v>9.7560975609756095</c:v>
                </c:pt>
                <c:pt idx="82">
                  <c:v>9.6385542168674707</c:v>
                </c:pt>
                <c:pt idx="83">
                  <c:v>9.5238095238095237</c:v>
                </c:pt>
                <c:pt idx="84">
                  <c:v>9.4117647058823533</c:v>
                </c:pt>
                <c:pt idx="85">
                  <c:v>9.3023255813953494</c:v>
                </c:pt>
                <c:pt idx="86">
                  <c:v>9.1954022988505741</c:v>
                </c:pt>
                <c:pt idx="87">
                  <c:v>9.0909090909090917</c:v>
                </c:pt>
                <c:pt idx="88">
                  <c:v>10.112359550561797</c:v>
                </c:pt>
                <c:pt idx="89">
                  <c:v>10</c:v>
                </c:pt>
                <c:pt idx="90">
                  <c:v>10.989010989010989</c:v>
                </c:pt>
                <c:pt idx="91">
                  <c:v>10.869565217391305</c:v>
                </c:pt>
                <c:pt idx="92">
                  <c:v>10.75268817204301</c:v>
                </c:pt>
                <c:pt idx="93">
                  <c:v>10.638297872340425</c:v>
                </c:pt>
                <c:pt idx="94">
                  <c:v>10.526315789473683</c:v>
                </c:pt>
                <c:pt idx="95">
                  <c:v>10.416666666666668</c:v>
                </c:pt>
                <c:pt idx="96">
                  <c:v>10.309278350515463</c:v>
                </c:pt>
                <c:pt idx="97">
                  <c:v>10.204081632653061</c:v>
                </c:pt>
                <c:pt idx="98">
                  <c:v>10.1010101010101</c:v>
                </c:pt>
                <c:pt idx="99">
                  <c:v>10</c:v>
                </c:pt>
                <c:pt idx="100">
                  <c:v>9.9009900990099009</c:v>
                </c:pt>
                <c:pt idx="101">
                  <c:v>9.8039215686274517</c:v>
                </c:pt>
                <c:pt idx="102">
                  <c:v>9.7087378640776691</c:v>
                </c:pt>
                <c:pt idx="103">
                  <c:v>9.6153846153846168</c:v>
                </c:pt>
                <c:pt idx="104">
                  <c:v>9.5238095238095237</c:v>
                </c:pt>
                <c:pt idx="105">
                  <c:v>9.433962264150944</c:v>
                </c:pt>
                <c:pt idx="106">
                  <c:v>9.3457943925233646</c:v>
                </c:pt>
                <c:pt idx="107">
                  <c:v>9.2592592592592595</c:v>
                </c:pt>
                <c:pt idx="108">
                  <c:v>9.1743119266055047</c:v>
                </c:pt>
                <c:pt idx="109">
                  <c:v>9.0909090909090917</c:v>
                </c:pt>
                <c:pt idx="110">
                  <c:v>9.0090090090090094</c:v>
                </c:pt>
                <c:pt idx="111">
                  <c:v>9.8214285714285712</c:v>
                </c:pt>
                <c:pt idx="112">
                  <c:v>10.619469026548673</c:v>
                </c:pt>
                <c:pt idx="113">
                  <c:v>10.526315789473683</c:v>
                </c:pt>
                <c:pt idx="114">
                  <c:v>10.434782608695652</c:v>
                </c:pt>
                <c:pt idx="115">
                  <c:v>11.206896551724139</c:v>
                </c:pt>
                <c:pt idx="116">
                  <c:v>11.111111111111111</c:v>
                </c:pt>
                <c:pt idx="117">
                  <c:v>11.864406779661017</c:v>
                </c:pt>
                <c:pt idx="118">
                  <c:v>12.605042016806722</c:v>
                </c:pt>
                <c:pt idx="119">
                  <c:v>12.5</c:v>
                </c:pt>
                <c:pt idx="120">
                  <c:v>12.396694214876034</c:v>
                </c:pt>
                <c:pt idx="121">
                  <c:v>12.295081967213115</c:v>
                </c:pt>
                <c:pt idx="122">
                  <c:v>12.195121951219512</c:v>
                </c:pt>
                <c:pt idx="123">
                  <c:v>12.903225806451612</c:v>
                </c:pt>
                <c:pt idx="124">
                  <c:v>12.8</c:v>
                </c:pt>
                <c:pt idx="125">
                  <c:v>12.698412698412698</c:v>
                </c:pt>
                <c:pt idx="126">
                  <c:v>12.598425196850393</c:v>
                </c:pt>
                <c:pt idx="127">
                  <c:v>12.5</c:v>
                </c:pt>
                <c:pt idx="128">
                  <c:v>12.403100775193799</c:v>
                </c:pt>
                <c:pt idx="129">
                  <c:v>12.307692307692308</c:v>
                </c:pt>
                <c:pt idx="130">
                  <c:v>12.213740458015266</c:v>
                </c:pt>
                <c:pt idx="131">
                  <c:v>12.121212121212121</c:v>
                </c:pt>
                <c:pt idx="132">
                  <c:v>12.030075187969924</c:v>
                </c:pt>
                <c:pt idx="133">
                  <c:v>11.940298507462686</c:v>
                </c:pt>
                <c:pt idx="134">
                  <c:v>11.851851851851853</c:v>
                </c:pt>
                <c:pt idx="135">
                  <c:v>11.76470588235294</c:v>
                </c:pt>
                <c:pt idx="136">
                  <c:v>11.678832116788321</c:v>
                </c:pt>
                <c:pt idx="137">
                  <c:v>11.594202898550725</c:v>
                </c:pt>
                <c:pt idx="138">
                  <c:v>11.510791366906476</c:v>
                </c:pt>
                <c:pt idx="139">
                  <c:v>11.428571428571429</c:v>
                </c:pt>
                <c:pt idx="140">
                  <c:v>11.347517730496454</c:v>
                </c:pt>
                <c:pt idx="141">
                  <c:v>11.267605633802818</c:v>
                </c:pt>
                <c:pt idx="142">
                  <c:v>11.188811188811188</c:v>
                </c:pt>
                <c:pt idx="143">
                  <c:v>11.111111111111111</c:v>
                </c:pt>
                <c:pt idx="144">
                  <c:v>11.724137931034482</c:v>
                </c:pt>
                <c:pt idx="145">
                  <c:v>11.643835616438356</c:v>
                </c:pt>
                <c:pt idx="146">
                  <c:v>11.564625850340136</c:v>
                </c:pt>
                <c:pt idx="147">
                  <c:v>11.486486486486488</c:v>
                </c:pt>
                <c:pt idx="148">
                  <c:v>11.409395973154362</c:v>
                </c:pt>
                <c:pt idx="149">
                  <c:v>11.333333333333332</c:v>
                </c:pt>
                <c:pt idx="150">
                  <c:v>11.258278145695364</c:v>
                </c:pt>
                <c:pt idx="151">
                  <c:v>11.184210526315789</c:v>
                </c:pt>
                <c:pt idx="152">
                  <c:v>11.76470588235294</c:v>
                </c:pt>
                <c:pt idx="153">
                  <c:v>11.688311688311687</c:v>
                </c:pt>
                <c:pt idx="154">
                  <c:v>11.612903225806452</c:v>
                </c:pt>
                <c:pt idx="155">
                  <c:v>11.538461538461538</c:v>
                </c:pt>
                <c:pt idx="156">
                  <c:v>11.464968152866243</c:v>
                </c:pt>
                <c:pt idx="157">
                  <c:v>11.39240506329114</c:v>
                </c:pt>
                <c:pt idx="158">
                  <c:v>11.320754716981133</c:v>
                </c:pt>
                <c:pt idx="159">
                  <c:v>11.25</c:v>
                </c:pt>
                <c:pt idx="160">
                  <c:v>11.180124223602485</c:v>
                </c:pt>
                <c:pt idx="161">
                  <c:v>11.111111111111111</c:v>
                </c:pt>
                <c:pt idx="162">
                  <c:v>11.042944785276074</c:v>
                </c:pt>
                <c:pt idx="163">
                  <c:v>10.975609756097562</c:v>
                </c:pt>
                <c:pt idx="164">
                  <c:v>10.909090909090908</c:v>
                </c:pt>
                <c:pt idx="165">
                  <c:v>10.843373493975903</c:v>
                </c:pt>
                <c:pt idx="166">
                  <c:v>10.778443113772456</c:v>
                </c:pt>
                <c:pt idx="167">
                  <c:v>10.714285714285714</c:v>
                </c:pt>
                <c:pt idx="168">
                  <c:v>10.650887573964498</c:v>
                </c:pt>
                <c:pt idx="169">
                  <c:v>10.588235294117647</c:v>
                </c:pt>
                <c:pt idx="170">
                  <c:v>10.526315789473683</c:v>
                </c:pt>
                <c:pt idx="171">
                  <c:v>10.465116279069768</c:v>
                </c:pt>
                <c:pt idx="172">
                  <c:v>10.404624277456648</c:v>
                </c:pt>
                <c:pt idx="173">
                  <c:v>10.344827586206897</c:v>
                </c:pt>
                <c:pt idx="174">
                  <c:v>10.857142857142858</c:v>
                </c:pt>
                <c:pt idx="175">
                  <c:v>10.795454545454545</c:v>
                </c:pt>
                <c:pt idx="176">
                  <c:v>11.299435028248588</c:v>
                </c:pt>
                <c:pt idx="177">
                  <c:v>11.235955056179774</c:v>
                </c:pt>
                <c:pt idx="178">
                  <c:v>11.173184357541899</c:v>
                </c:pt>
                <c:pt idx="179">
                  <c:v>11.111111111111111</c:v>
                </c:pt>
                <c:pt idx="180">
                  <c:v>11.049723756906078</c:v>
                </c:pt>
                <c:pt idx="181">
                  <c:v>10.989010989010989</c:v>
                </c:pt>
                <c:pt idx="182">
                  <c:v>10.928961748633879</c:v>
                </c:pt>
                <c:pt idx="183">
                  <c:v>10.869565217391305</c:v>
                </c:pt>
                <c:pt idx="184">
                  <c:v>11.351351351351353</c:v>
                </c:pt>
                <c:pt idx="185">
                  <c:v>11.827956989247312</c:v>
                </c:pt>
                <c:pt idx="186">
                  <c:v>11.76470588235294</c:v>
                </c:pt>
                <c:pt idx="187">
                  <c:v>11.702127659574469</c:v>
                </c:pt>
                <c:pt idx="188">
                  <c:v>12.169312169312169</c:v>
                </c:pt>
                <c:pt idx="189">
                  <c:v>12.105263157894736</c:v>
                </c:pt>
                <c:pt idx="190">
                  <c:v>12.041884816753926</c:v>
                </c:pt>
                <c:pt idx="191">
                  <c:v>11.979166666666668</c:v>
                </c:pt>
                <c:pt idx="192">
                  <c:v>12.435233160621761</c:v>
                </c:pt>
                <c:pt idx="193">
                  <c:v>12.371134020618557</c:v>
                </c:pt>
                <c:pt idx="194">
                  <c:v>12.307692307692308</c:v>
                </c:pt>
                <c:pt idx="195">
                  <c:v>12.244897959183673</c:v>
                </c:pt>
                <c:pt idx="196">
                  <c:v>12.18274111675127</c:v>
                </c:pt>
                <c:pt idx="197">
                  <c:v>12.626262626262626</c:v>
                </c:pt>
                <c:pt idx="198">
                  <c:v>12.562814070351758</c:v>
                </c:pt>
                <c:pt idx="199">
                  <c:v>12.5</c:v>
                </c:pt>
                <c:pt idx="200">
                  <c:v>12.437810945273633</c:v>
                </c:pt>
                <c:pt idx="201">
                  <c:v>12.376237623762377</c:v>
                </c:pt>
                <c:pt idx="202">
                  <c:v>12.807881773399016</c:v>
                </c:pt>
                <c:pt idx="203">
                  <c:v>12.745098039215685</c:v>
                </c:pt>
                <c:pt idx="204">
                  <c:v>12.682926829268293</c:v>
                </c:pt>
                <c:pt idx="205">
                  <c:v>12.621359223300971</c:v>
                </c:pt>
                <c:pt idx="206">
                  <c:v>12.560386473429952</c:v>
                </c:pt>
                <c:pt idx="207">
                  <c:v>12.5</c:v>
                </c:pt>
                <c:pt idx="208">
                  <c:v>12.440191387559809</c:v>
                </c:pt>
                <c:pt idx="209">
                  <c:v>12.380952380952381</c:v>
                </c:pt>
                <c:pt idx="210">
                  <c:v>12.322274881516588</c:v>
                </c:pt>
                <c:pt idx="211">
                  <c:v>12.735849056603774</c:v>
                </c:pt>
                <c:pt idx="212">
                  <c:v>12.676056338028168</c:v>
                </c:pt>
                <c:pt idx="213">
                  <c:v>12.616822429906541</c:v>
                </c:pt>
                <c:pt idx="214">
                  <c:v>12.558139534883722</c:v>
                </c:pt>
                <c:pt idx="215">
                  <c:v>12.5</c:v>
                </c:pt>
                <c:pt idx="216">
                  <c:v>12.903225806451612</c:v>
                </c:pt>
                <c:pt idx="217">
                  <c:v>12.844036697247708</c:v>
                </c:pt>
                <c:pt idx="218">
                  <c:v>12.785388127853881</c:v>
                </c:pt>
                <c:pt idx="219">
                  <c:v>12.727272727272727</c:v>
                </c:pt>
                <c:pt idx="220">
                  <c:v>12.669683257918551</c:v>
                </c:pt>
                <c:pt idx="221">
                  <c:v>12.612612612612612</c:v>
                </c:pt>
                <c:pt idx="222">
                  <c:v>12.556053811659194</c:v>
                </c:pt>
                <c:pt idx="223">
                  <c:v>12.5</c:v>
                </c:pt>
                <c:pt idx="224">
                  <c:v>12.444444444444445</c:v>
                </c:pt>
                <c:pt idx="225">
                  <c:v>12.831858407079647</c:v>
                </c:pt>
                <c:pt idx="226">
                  <c:v>12.77533039647577</c:v>
                </c:pt>
                <c:pt idx="227">
                  <c:v>12.719298245614036</c:v>
                </c:pt>
                <c:pt idx="228">
                  <c:v>12.663755458515283</c:v>
                </c:pt>
                <c:pt idx="229">
                  <c:v>12.608695652173912</c:v>
                </c:pt>
                <c:pt idx="230">
                  <c:v>12.554112554112553</c:v>
                </c:pt>
                <c:pt idx="231">
                  <c:v>12.5</c:v>
                </c:pt>
                <c:pt idx="232">
                  <c:v>12.446351931330472</c:v>
                </c:pt>
                <c:pt idx="233">
                  <c:v>12.393162393162394</c:v>
                </c:pt>
                <c:pt idx="234">
                  <c:v>12.340425531914894</c:v>
                </c:pt>
                <c:pt idx="235">
                  <c:v>12.288135593220339</c:v>
                </c:pt>
                <c:pt idx="236">
                  <c:v>12.236286919831224</c:v>
                </c:pt>
                <c:pt idx="237">
                  <c:v>12.184873949579831</c:v>
                </c:pt>
                <c:pt idx="238">
                  <c:v>12.552301255230125</c:v>
                </c:pt>
                <c:pt idx="239">
                  <c:v>12.5</c:v>
                </c:pt>
                <c:pt idx="240">
                  <c:v>12.448132780082988</c:v>
                </c:pt>
                <c:pt idx="241">
                  <c:v>12.809917355371899</c:v>
                </c:pt>
                <c:pt idx="242">
                  <c:v>12.757201646090536</c:v>
                </c:pt>
                <c:pt idx="243">
                  <c:v>13.114754098360656</c:v>
                </c:pt>
                <c:pt idx="244">
                  <c:v>13.061224489795919</c:v>
                </c:pt>
                <c:pt idx="245">
                  <c:v>13.008130081300814</c:v>
                </c:pt>
                <c:pt idx="246">
                  <c:v>12.955465587044534</c:v>
                </c:pt>
                <c:pt idx="247">
                  <c:v>13.306451612903224</c:v>
                </c:pt>
                <c:pt idx="248">
                  <c:v>13.253012048192772</c:v>
                </c:pt>
                <c:pt idx="249">
                  <c:v>13.200000000000001</c:v>
                </c:pt>
                <c:pt idx="250">
                  <c:v>13.147410358565736</c:v>
                </c:pt>
                <c:pt idx="251">
                  <c:v>13.095238095238097</c:v>
                </c:pt>
                <c:pt idx="252">
                  <c:v>13.043478260869565</c:v>
                </c:pt>
                <c:pt idx="253">
                  <c:v>12.992125984251967</c:v>
                </c:pt>
                <c:pt idx="254">
                  <c:v>12.941176470588237</c:v>
                </c:pt>
                <c:pt idx="255">
                  <c:v>12.890625</c:v>
                </c:pt>
                <c:pt idx="256">
                  <c:v>12.840466926070038</c:v>
                </c:pt>
                <c:pt idx="257">
                  <c:v>12.790697674418606</c:v>
                </c:pt>
                <c:pt idx="258">
                  <c:v>13.127413127413126</c:v>
                </c:pt>
                <c:pt idx="259">
                  <c:v>13.461538461538462</c:v>
                </c:pt>
                <c:pt idx="260">
                  <c:v>13.409961685823754</c:v>
                </c:pt>
                <c:pt idx="261">
                  <c:v>13.358778625954198</c:v>
                </c:pt>
                <c:pt idx="262">
                  <c:v>13.307984790874524</c:v>
                </c:pt>
                <c:pt idx="263">
                  <c:v>13.257575757575758</c:v>
                </c:pt>
                <c:pt idx="264">
                  <c:v>13.20754716981132</c:v>
                </c:pt>
                <c:pt idx="265">
                  <c:v>13.157894736842104</c:v>
                </c:pt>
                <c:pt idx="266">
                  <c:v>13.48314606741573</c:v>
                </c:pt>
                <c:pt idx="267">
                  <c:v>13.432835820895523</c:v>
                </c:pt>
                <c:pt idx="268">
                  <c:v>13.754646840148698</c:v>
                </c:pt>
                <c:pt idx="269">
                  <c:v>13.703703703703704</c:v>
                </c:pt>
                <c:pt idx="270">
                  <c:v>13.653136531365314</c:v>
                </c:pt>
                <c:pt idx="271">
                  <c:v>13.602941176470587</c:v>
                </c:pt>
                <c:pt idx="272">
                  <c:v>13.553113553113553</c:v>
                </c:pt>
                <c:pt idx="273">
                  <c:v>13.503649635036496</c:v>
                </c:pt>
                <c:pt idx="274">
                  <c:v>13.454545454545455</c:v>
                </c:pt>
                <c:pt idx="275">
                  <c:v>13.405797101449277</c:v>
                </c:pt>
                <c:pt idx="276">
                  <c:v>13.357400722021662</c:v>
                </c:pt>
                <c:pt idx="277">
                  <c:v>13.309352517985612</c:v>
                </c:pt>
                <c:pt idx="278">
                  <c:v>13.261648745519713</c:v>
                </c:pt>
                <c:pt idx="279">
                  <c:v>13.214285714285715</c:v>
                </c:pt>
                <c:pt idx="280">
                  <c:v>13.167259786476867</c:v>
                </c:pt>
                <c:pt idx="281">
                  <c:v>13.475177304964539</c:v>
                </c:pt>
                <c:pt idx="282">
                  <c:v>13.427561837455832</c:v>
                </c:pt>
                <c:pt idx="283">
                  <c:v>13.732394366197184</c:v>
                </c:pt>
                <c:pt idx="284">
                  <c:v>13.684210526315791</c:v>
                </c:pt>
                <c:pt idx="285">
                  <c:v>13.636363636363635</c:v>
                </c:pt>
                <c:pt idx="286">
                  <c:v>13.588850174216027</c:v>
                </c:pt>
                <c:pt idx="287">
                  <c:v>13.541666666666666</c:v>
                </c:pt>
                <c:pt idx="288">
                  <c:v>13.84083044982699</c:v>
                </c:pt>
                <c:pt idx="289">
                  <c:v>13.793103448275861</c:v>
                </c:pt>
                <c:pt idx="290">
                  <c:v>13.745704467353953</c:v>
                </c:pt>
                <c:pt idx="291">
                  <c:v>13.698630136986301</c:v>
                </c:pt>
                <c:pt idx="292">
                  <c:v>13.651877133105803</c:v>
                </c:pt>
                <c:pt idx="293">
                  <c:v>13.605442176870749</c:v>
                </c:pt>
                <c:pt idx="294">
                  <c:v>13.898305084745763</c:v>
                </c:pt>
                <c:pt idx="295">
                  <c:v>14.189189189189189</c:v>
                </c:pt>
                <c:pt idx="296">
                  <c:v>14.14141414141414</c:v>
                </c:pt>
                <c:pt idx="297">
                  <c:v>14.093959731543624</c:v>
                </c:pt>
                <c:pt idx="298">
                  <c:v>14.046822742474916</c:v>
                </c:pt>
                <c:pt idx="299">
                  <c:v>14.000000000000002</c:v>
                </c:pt>
                <c:pt idx="300">
                  <c:v>13.953488372093023</c:v>
                </c:pt>
                <c:pt idx="301">
                  <c:v>13.90728476821192</c:v>
                </c:pt>
                <c:pt idx="302">
                  <c:v>13.861386138613863</c:v>
                </c:pt>
                <c:pt idx="303">
                  <c:v>13.815789473684212</c:v>
                </c:pt>
                <c:pt idx="304">
                  <c:v>13.77049180327869</c:v>
                </c:pt>
                <c:pt idx="305">
                  <c:v>13.725490196078432</c:v>
                </c:pt>
                <c:pt idx="306">
                  <c:v>13.680781758957655</c:v>
                </c:pt>
                <c:pt idx="307">
                  <c:v>13.636363636363635</c:v>
                </c:pt>
                <c:pt idx="308">
                  <c:v>13.592233009708737</c:v>
                </c:pt>
                <c:pt idx="309">
                  <c:v>13.548387096774196</c:v>
                </c:pt>
                <c:pt idx="310">
                  <c:v>13.504823151125404</c:v>
                </c:pt>
                <c:pt idx="311">
                  <c:v>13.461538461538462</c:v>
                </c:pt>
                <c:pt idx="312">
                  <c:v>13.738019169329075</c:v>
                </c:pt>
                <c:pt idx="313">
                  <c:v>13.694267515923567</c:v>
                </c:pt>
                <c:pt idx="314">
                  <c:v>13.65079365079365</c:v>
                </c:pt>
                <c:pt idx="315">
                  <c:v>13.60759493670886</c:v>
                </c:pt>
                <c:pt idx="316">
                  <c:v>13.564668769716087</c:v>
                </c:pt>
                <c:pt idx="317">
                  <c:v>13.522012578616351</c:v>
                </c:pt>
                <c:pt idx="318">
                  <c:v>13.479623824451412</c:v>
                </c:pt>
                <c:pt idx="319">
                  <c:v>13.4375</c:v>
                </c:pt>
                <c:pt idx="320">
                  <c:v>13.395638629283487</c:v>
                </c:pt>
                <c:pt idx="321">
                  <c:v>13.354037267080745</c:v>
                </c:pt>
                <c:pt idx="322">
                  <c:v>13.312693498452013</c:v>
                </c:pt>
                <c:pt idx="323">
                  <c:v>13.271604938271606</c:v>
                </c:pt>
                <c:pt idx="324">
                  <c:v>13.230769230769232</c:v>
                </c:pt>
                <c:pt idx="325">
                  <c:v>13.190184049079754</c:v>
                </c:pt>
                <c:pt idx="326">
                  <c:v>13.149847094801222</c:v>
                </c:pt>
                <c:pt idx="327">
                  <c:v>13.109756097560975</c:v>
                </c:pt>
                <c:pt idx="328">
                  <c:v>13.069908814589665</c:v>
                </c:pt>
                <c:pt idx="329">
                  <c:v>13.030303030303031</c:v>
                </c:pt>
                <c:pt idx="330">
                  <c:v>13.293051359516618</c:v>
                </c:pt>
                <c:pt idx="331">
                  <c:v>13.253012048192772</c:v>
                </c:pt>
                <c:pt idx="332">
                  <c:v>13.213213213213212</c:v>
                </c:pt>
                <c:pt idx="333">
                  <c:v>13.17365269461078</c:v>
                </c:pt>
                <c:pt idx="334">
                  <c:v>13.134328358208954</c:v>
                </c:pt>
                <c:pt idx="335">
                  <c:v>13.095238095238097</c:v>
                </c:pt>
                <c:pt idx="336">
                  <c:v>13.056379821958458</c:v>
                </c:pt>
                <c:pt idx="337">
                  <c:v>13.017751479289942</c:v>
                </c:pt>
                <c:pt idx="338">
                  <c:v>12.979351032448378</c:v>
                </c:pt>
                <c:pt idx="339">
                  <c:v>12.941176470588237</c:v>
                </c:pt>
                <c:pt idx="340">
                  <c:v>13.196480938416421</c:v>
                </c:pt>
                <c:pt idx="341">
                  <c:v>13.157894736842104</c:v>
                </c:pt>
                <c:pt idx="342">
                  <c:v>13.119533527696792</c:v>
                </c:pt>
                <c:pt idx="343">
                  <c:v>13.08139534883721</c:v>
                </c:pt>
                <c:pt idx="344">
                  <c:v>13.043478260869565</c:v>
                </c:pt>
                <c:pt idx="345">
                  <c:v>13.005780346820808</c:v>
                </c:pt>
                <c:pt idx="346">
                  <c:v>12.968299711815561</c:v>
                </c:pt>
                <c:pt idx="347">
                  <c:v>13.218390804597702</c:v>
                </c:pt>
                <c:pt idx="348">
                  <c:v>13.180515759312319</c:v>
                </c:pt>
                <c:pt idx="349">
                  <c:v>13.142857142857142</c:v>
                </c:pt>
                <c:pt idx="350">
                  <c:v>13.390313390313391</c:v>
                </c:pt>
                <c:pt idx="351">
                  <c:v>13.636363636363635</c:v>
                </c:pt>
                <c:pt idx="352">
                  <c:v>13.597733711048161</c:v>
                </c:pt>
                <c:pt idx="353">
                  <c:v>13.841807909604519</c:v>
                </c:pt>
                <c:pt idx="354">
                  <c:v>13.802816901408452</c:v>
                </c:pt>
                <c:pt idx="355">
                  <c:v>14.04494382022472</c:v>
                </c:pt>
                <c:pt idx="356">
                  <c:v>14.005602240896359</c:v>
                </c:pt>
                <c:pt idx="357">
                  <c:v>13.966480446927374</c:v>
                </c:pt>
                <c:pt idx="358">
                  <c:v>13.92757660167131</c:v>
                </c:pt>
                <c:pt idx="359">
                  <c:v>13.888888888888889</c:v>
                </c:pt>
                <c:pt idx="360">
                  <c:v>13.850415512465375</c:v>
                </c:pt>
                <c:pt idx="361">
                  <c:v>13.812154696132598</c:v>
                </c:pt>
                <c:pt idx="362">
                  <c:v>13.774104683195592</c:v>
                </c:pt>
                <c:pt idx="363">
                  <c:v>14.010989010989011</c:v>
                </c:pt>
                <c:pt idx="364">
                  <c:v>14.246575342465754</c:v>
                </c:pt>
                <c:pt idx="365">
                  <c:v>14.480874316939889</c:v>
                </c:pt>
                <c:pt idx="366">
                  <c:v>14.713896457765669</c:v>
                </c:pt>
                <c:pt idx="367">
                  <c:v>14.673913043478262</c:v>
                </c:pt>
                <c:pt idx="368">
                  <c:v>14.634146341463413</c:v>
                </c:pt>
                <c:pt idx="369">
                  <c:v>14.594594594594595</c:v>
                </c:pt>
                <c:pt idx="370">
                  <c:v>14.555256064690028</c:v>
                </c:pt>
                <c:pt idx="371">
                  <c:v>14.516129032258066</c:v>
                </c:pt>
                <c:pt idx="372">
                  <c:v>14.47721179624665</c:v>
                </c:pt>
                <c:pt idx="373">
                  <c:v>14.438502673796791</c:v>
                </c:pt>
                <c:pt idx="374">
                  <c:v>14.666666666666666</c:v>
                </c:pt>
                <c:pt idx="375">
                  <c:v>14.627659574468085</c:v>
                </c:pt>
                <c:pt idx="376">
                  <c:v>14.588859416445624</c:v>
                </c:pt>
                <c:pt idx="377">
                  <c:v>14.550264550264549</c:v>
                </c:pt>
                <c:pt idx="378">
                  <c:v>14.511873350923482</c:v>
                </c:pt>
                <c:pt idx="379">
                  <c:v>14.473684210526317</c:v>
                </c:pt>
                <c:pt idx="380">
                  <c:v>14.435695538057743</c:v>
                </c:pt>
                <c:pt idx="381">
                  <c:v>14.397905759162304</c:v>
                </c:pt>
                <c:pt idx="382">
                  <c:v>14.360313315926893</c:v>
                </c:pt>
                <c:pt idx="383">
                  <c:v>14.322916666666666</c:v>
                </c:pt>
                <c:pt idx="384">
                  <c:v>14.545454545454545</c:v>
                </c:pt>
                <c:pt idx="385">
                  <c:v>14.507772020725387</c:v>
                </c:pt>
                <c:pt idx="386">
                  <c:v>14.470284237726098</c:v>
                </c:pt>
                <c:pt idx="387">
                  <c:v>14.432989690721648</c:v>
                </c:pt>
                <c:pt idx="388">
                  <c:v>14.395886889460154</c:v>
                </c:pt>
                <c:pt idx="389">
                  <c:v>14.358974358974358</c:v>
                </c:pt>
                <c:pt idx="390">
                  <c:v>14.322250639386189</c:v>
                </c:pt>
                <c:pt idx="391">
                  <c:v>14.285714285714285</c:v>
                </c:pt>
                <c:pt idx="392">
                  <c:v>14.249363867684478</c:v>
                </c:pt>
                <c:pt idx="393">
                  <c:v>14.213197969543149</c:v>
                </c:pt>
                <c:pt idx="394">
                  <c:v>14.177215189873419</c:v>
                </c:pt>
                <c:pt idx="395">
                  <c:v>14.14141414141414</c:v>
                </c:pt>
                <c:pt idx="396">
                  <c:v>14.105793450881613</c:v>
                </c:pt>
                <c:pt idx="397">
                  <c:v>14.07035175879397</c:v>
                </c:pt>
                <c:pt idx="398">
                  <c:v>14.035087719298245</c:v>
                </c:pt>
                <c:pt idx="399">
                  <c:v>14.000000000000002</c:v>
                </c:pt>
                <c:pt idx="400">
                  <c:v>13.96508728179551</c:v>
                </c:pt>
                <c:pt idx="401">
                  <c:v>14.17910447761194</c:v>
                </c:pt>
                <c:pt idx="402">
                  <c:v>14.143920595533499</c:v>
                </c:pt>
                <c:pt idx="403">
                  <c:v>14.108910891089108</c:v>
                </c:pt>
                <c:pt idx="404">
                  <c:v>14.074074074074074</c:v>
                </c:pt>
                <c:pt idx="405">
                  <c:v>14.039408866995073</c:v>
                </c:pt>
                <c:pt idx="406">
                  <c:v>14.004914004914005</c:v>
                </c:pt>
                <c:pt idx="407">
                  <c:v>14.215686274509803</c:v>
                </c:pt>
                <c:pt idx="408">
                  <c:v>14.180929095354522</c:v>
                </c:pt>
                <c:pt idx="409">
                  <c:v>14.146341463414632</c:v>
                </c:pt>
                <c:pt idx="410">
                  <c:v>14.111922141119221</c:v>
                </c:pt>
                <c:pt idx="411">
                  <c:v>14.077669902912621</c:v>
                </c:pt>
                <c:pt idx="412">
                  <c:v>14.043583535108958</c:v>
                </c:pt>
                <c:pt idx="413">
                  <c:v>14.009661835748794</c:v>
                </c:pt>
                <c:pt idx="414">
                  <c:v>13.975903614457833</c:v>
                </c:pt>
                <c:pt idx="415">
                  <c:v>13.942307692307693</c:v>
                </c:pt>
                <c:pt idx="416">
                  <c:v>13.908872901678656</c:v>
                </c:pt>
                <c:pt idx="417">
                  <c:v>13.875598086124402</c:v>
                </c:pt>
                <c:pt idx="418">
                  <c:v>13.842482100238662</c:v>
                </c:pt>
                <c:pt idx="419">
                  <c:v>13.80952380952381</c:v>
                </c:pt>
                <c:pt idx="420">
                  <c:v>14.014251781472684</c:v>
                </c:pt>
                <c:pt idx="421">
                  <c:v>13.981042654028435</c:v>
                </c:pt>
                <c:pt idx="422">
                  <c:v>13.947990543735225</c:v>
                </c:pt>
                <c:pt idx="423">
                  <c:v>13.915094339622641</c:v>
                </c:pt>
                <c:pt idx="424">
                  <c:v>13.882352941176471</c:v>
                </c:pt>
                <c:pt idx="425">
                  <c:v>13.849765258215962</c:v>
                </c:pt>
                <c:pt idx="426">
                  <c:v>13.817330210772832</c:v>
                </c:pt>
                <c:pt idx="427">
                  <c:v>13.785046728971961</c:v>
                </c:pt>
                <c:pt idx="428">
                  <c:v>13.752913752913754</c:v>
                </c:pt>
                <c:pt idx="429">
                  <c:v>13.720930232558141</c:v>
                </c:pt>
                <c:pt idx="430">
                  <c:v>13.68909512761021</c:v>
                </c:pt>
                <c:pt idx="431">
                  <c:v>13.657407407407407</c:v>
                </c:pt>
                <c:pt idx="432">
                  <c:v>13.625866050808314</c:v>
                </c:pt>
                <c:pt idx="433">
                  <c:v>13.594470046082948</c:v>
                </c:pt>
                <c:pt idx="434">
                  <c:v>13.563218390804598</c:v>
                </c:pt>
                <c:pt idx="435">
                  <c:v>13.761467889908257</c:v>
                </c:pt>
                <c:pt idx="436">
                  <c:v>13.958810068649885</c:v>
                </c:pt>
                <c:pt idx="437">
                  <c:v>14.15525114155251</c:v>
                </c:pt>
                <c:pt idx="438">
                  <c:v>14.123006833712983</c:v>
                </c:pt>
                <c:pt idx="439">
                  <c:v>14.09090909090909</c:v>
                </c:pt>
                <c:pt idx="440">
                  <c:v>14.058956916099774</c:v>
                </c:pt>
                <c:pt idx="441">
                  <c:v>14.027149321266968</c:v>
                </c:pt>
                <c:pt idx="442">
                  <c:v>13.995485327313769</c:v>
                </c:pt>
                <c:pt idx="443">
                  <c:v>13.963963963963963</c:v>
                </c:pt>
                <c:pt idx="444">
                  <c:v>14.157303370786517</c:v>
                </c:pt>
                <c:pt idx="445">
                  <c:v>14.125560538116591</c:v>
                </c:pt>
                <c:pt idx="446">
                  <c:v>14.317673378076062</c:v>
                </c:pt>
                <c:pt idx="447">
                  <c:v>14.285714285714285</c:v>
                </c:pt>
                <c:pt idx="448">
                  <c:v>14.253897550111358</c:v>
                </c:pt>
                <c:pt idx="449">
                  <c:v>14.222222222222221</c:v>
                </c:pt>
                <c:pt idx="450">
                  <c:v>14.190687361419069</c:v>
                </c:pt>
                <c:pt idx="451">
                  <c:v>14.159292035398231</c:v>
                </c:pt>
                <c:pt idx="452">
                  <c:v>14.1280353200883</c:v>
                </c:pt>
                <c:pt idx="453">
                  <c:v>14.096916299559473</c:v>
                </c:pt>
                <c:pt idx="454">
                  <c:v>14.285714285714285</c:v>
                </c:pt>
                <c:pt idx="455">
                  <c:v>14.254385964912281</c:v>
                </c:pt>
                <c:pt idx="456">
                  <c:v>14.442013129102845</c:v>
                </c:pt>
                <c:pt idx="457">
                  <c:v>14.410480349344979</c:v>
                </c:pt>
                <c:pt idx="458">
                  <c:v>14.37908496732026</c:v>
                </c:pt>
                <c:pt idx="459">
                  <c:v>14.347826086956522</c:v>
                </c:pt>
                <c:pt idx="460">
                  <c:v>14.533622559652928</c:v>
                </c:pt>
                <c:pt idx="461">
                  <c:v>14.71861471861472</c:v>
                </c:pt>
                <c:pt idx="462">
                  <c:v>14.902807775377969</c:v>
                </c:pt>
                <c:pt idx="463">
                  <c:v>14.870689655172415</c:v>
                </c:pt>
                <c:pt idx="464">
                  <c:v>14.838709677419354</c:v>
                </c:pt>
                <c:pt idx="465">
                  <c:v>14.806866952789699</c:v>
                </c:pt>
                <c:pt idx="466">
                  <c:v>14.775160599571734</c:v>
                </c:pt>
                <c:pt idx="467">
                  <c:v>14.743589743589745</c:v>
                </c:pt>
                <c:pt idx="468">
                  <c:v>14.712153518123666</c:v>
                </c:pt>
                <c:pt idx="469">
                  <c:v>14.680851063829786</c:v>
                </c:pt>
                <c:pt idx="470">
                  <c:v>14.64968152866242</c:v>
                </c:pt>
                <c:pt idx="471">
                  <c:v>14.618644067796611</c:v>
                </c:pt>
                <c:pt idx="472">
                  <c:v>14.799154334038056</c:v>
                </c:pt>
                <c:pt idx="473">
                  <c:v>14.767932489451477</c:v>
                </c:pt>
                <c:pt idx="474">
                  <c:v>14.736842105263156</c:v>
                </c:pt>
                <c:pt idx="475">
                  <c:v>14.705882352941178</c:v>
                </c:pt>
                <c:pt idx="476">
                  <c:v>14.675052410901468</c:v>
                </c:pt>
                <c:pt idx="477">
                  <c:v>14.644351464435147</c:v>
                </c:pt>
                <c:pt idx="478">
                  <c:v>14.822546972860126</c:v>
                </c:pt>
                <c:pt idx="479">
                  <c:v>14.791666666666666</c:v>
                </c:pt>
                <c:pt idx="480">
                  <c:v>14.760914760914762</c:v>
                </c:pt>
                <c:pt idx="481">
                  <c:v>14.730290456431536</c:v>
                </c:pt>
                <c:pt idx="482">
                  <c:v>14.699792960662524</c:v>
                </c:pt>
                <c:pt idx="483">
                  <c:v>14.669421487603307</c:v>
                </c:pt>
                <c:pt idx="484">
                  <c:v>14.63917525773196</c:v>
                </c:pt>
                <c:pt idx="485">
                  <c:v>14.609053497942387</c:v>
                </c:pt>
                <c:pt idx="486">
                  <c:v>14.579055441478438</c:v>
                </c:pt>
                <c:pt idx="487">
                  <c:v>14.549180327868852</c:v>
                </c:pt>
                <c:pt idx="488">
                  <c:v>14.519427402862986</c:v>
                </c:pt>
                <c:pt idx="489">
                  <c:v>14.489795918367346</c:v>
                </c:pt>
                <c:pt idx="490">
                  <c:v>14.460285132382891</c:v>
                </c:pt>
                <c:pt idx="491">
                  <c:v>14.43089430894309</c:v>
                </c:pt>
                <c:pt idx="492">
                  <c:v>14.401622718052739</c:v>
                </c:pt>
                <c:pt idx="493">
                  <c:v>14.37246963562753</c:v>
                </c:pt>
                <c:pt idx="494">
                  <c:v>14.343434343434344</c:v>
                </c:pt>
                <c:pt idx="495">
                  <c:v>14.31451612903226</c:v>
                </c:pt>
                <c:pt idx="496">
                  <c:v>14.285714285714285</c:v>
                </c:pt>
                <c:pt idx="497">
                  <c:v>14.257028112449799</c:v>
                </c:pt>
                <c:pt idx="498">
                  <c:v>14.228456913827655</c:v>
                </c:pt>
                <c:pt idx="499">
                  <c:v>14.2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3-4541-AA38-C79BD77F84B4}"/>
            </c:ext>
          </c:extLst>
        </c:ser>
        <c:ser>
          <c:idx val="1"/>
          <c:order val="1"/>
          <c:tx>
            <c:strRef>
              <c:f>Dice!$J$1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Dice!$J$2:$J$501</c:f>
              <c:numCache>
                <c:formatCode>General</c:formatCode>
                <c:ptCount val="500"/>
                <c:pt idx="0">
                  <c:v>100</c:v>
                </c:pt>
                <c:pt idx="1">
                  <c:v>50</c:v>
                </c:pt>
                <c:pt idx="2">
                  <c:v>33.333333333333329</c:v>
                </c:pt>
                <c:pt idx="3">
                  <c:v>25</c:v>
                </c:pt>
                <c:pt idx="4">
                  <c:v>20</c:v>
                </c:pt>
                <c:pt idx="5">
                  <c:v>16.666666666666664</c:v>
                </c:pt>
                <c:pt idx="6">
                  <c:v>28.571428571428569</c:v>
                </c:pt>
                <c:pt idx="7">
                  <c:v>25</c:v>
                </c:pt>
                <c:pt idx="8">
                  <c:v>22.222222222222221</c:v>
                </c:pt>
                <c:pt idx="9">
                  <c:v>20</c:v>
                </c:pt>
                <c:pt idx="10">
                  <c:v>18.181818181818183</c:v>
                </c:pt>
                <c:pt idx="11">
                  <c:v>16.666666666666664</c:v>
                </c:pt>
                <c:pt idx="12">
                  <c:v>15.384615384615385</c:v>
                </c:pt>
                <c:pt idx="13">
                  <c:v>14.285714285714285</c:v>
                </c:pt>
                <c:pt idx="14">
                  <c:v>13.333333333333334</c:v>
                </c:pt>
                <c:pt idx="15">
                  <c:v>12.5</c:v>
                </c:pt>
                <c:pt idx="16">
                  <c:v>11.76470588235294</c:v>
                </c:pt>
                <c:pt idx="17">
                  <c:v>11.111111111111111</c:v>
                </c:pt>
                <c:pt idx="18">
                  <c:v>15.789473684210526</c:v>
                </c:pt>
                <c:pt idx="19">
                  <c:v>20</c:v>
                </c:pt>
                <c:pt idx="20">
                  <c:v>19.047619047619047</c:v>
                </c:pt>
                <c:pt idx="21">
                  <c:v>18.181818181818183</c:v>
                </c:pt>
                <c:pt idx="22">
                  <c:v>17.391304347826086</c:v>
                </c:pt>
                <c:pt idx="23">
                  <c:v>20.833333333333336</c:v>
                </c:pt>
                <c:pt idx="24">
                  <c:v>24</c:v>
                </c:pt>
                <c:pt idx="25">
                  <c:v>23.076923076923077</c:v>
                </c:pt>
                <c:pt idx="26">
                  <c:v>22.222222222222221</c:v>
                </c:pt>
                <c:pt idx="27">
                  <c:v>21.428571428571427</c:v>
                </c:pt>
                <c:pt idx="28">
                  <c:v>20.689655172413794</c:v>
                </c:pt>
                <c:pt idx="29">
                  <c:v>20</c:v>
                </c:pt>
                <c:pt idx="30">
                  <c:v>19.35483870967742</c:v>
                </c:pt>
                <c:pt idx="31">
                  <c:v>18.75</c:v>
                </c:pt>
                <c:pt idx="32">
                  <c:v>21.212121212121211</c:v>
                </c:pt>
                <c:pt idx="33">
                  <c:v>20.588235294117645</c:v>
                </c:pt>
                <c:pt idx="34">
                  <c:v>20</c:v>
                </c:pt>
                <c:pt idx="35">
                  <c:v>22.222222222222221</c:v>
                </c:pt>
                <c:pt idx="36">
                  <c:v>24.324324324324326</c:v>
                </c:pt>
                <c:pt idx="37">
                  <c:v>26.315789473684209</c:v>
                </c:pt>
                <c:pt idx="38">
                  <c:v>25.641025641025639</c:v>
                </c:pt>
                <c:pt idx="39">
                  <c:v>25</c:v>
                </c:pt>
                <c:pt idx="40">
                  <c:v>24.390243902439025</c:v>
                </c:pt>
                <c:pt idx="41">
                  <c:v>23.809523809523807</c:v>
                </c:pt>
                <c:pt idx="42">
                  <c:v>23.255813953488371</c:v>
                </c:pt>
                <c:pt idx="43">
                  <c:v>22.727272727272727</c:v>
                </c:pt>
                <c:pt idx="44">
                  <c:v>22.222222222222221</c:v>
                </c:pt>
                <c:pt idx="45">
                  <c:v>21.739130434782609</c:v>
                </c:pt>
                <c:pt idx="46">
                  <c:v>21.276595744680851</c:v>
                </c:pt>
                <c:pt idx="47">
                  <c:v>22.916666666666664</c:v>
                </c:pt>
                <c:pt idx="48">
                  <c:v>22.448979591836736</c:v>
                </c:pt>
                <c:pt idx="49">
                  <c:v>24</c:v>
                </c:pt>
                <c:pt idx="50">
                  <c:v>23.52941176470588</c:v>
                </c:pt>
                <c:pt idx="51">
                  <c:v>23.076923076923077</c:v>
                </c:pt>
                <c:pt idx="52">
                  <c:v>22.641509433962266</c:v>
                </c:pt>
                <c:pt idx="53">
                  <c:v>22.222222222222221</c:v>
                </c:pt>
                <c:pt idx="54">
                  <c:v>21.818181818181817</c:v>
                </c:pt>
                <c:pt idx="55">
                  <c:v>21.428571428571427</c:v>
                </c:pt>
                <c:pt idx="56">
                  <c:v>21.052631578947366</c:v>
                </c:pt>
                <c:pt idx="57">
                  <c:v>20.689655172413794</c:v>
                </c:pt>
                <c:pt idx="58">
                  <c:v>20.33898305084746</c:v>
                </c:pt>
                <c:pt idx="59">
                  <c:v>21.666666666666668</c:v>
                </c:pt>
                <c:pt idx="60">
                  <c:v>21.311475409836063</c:v>
                </c:pt>
                <c:pt idx="61">
                  <c:v>22.58064516129032</c:v>
                </c:pt>
                <c:pt idx="62">
                  <c:v>22.222222222222221</c:v>
                </c:pt>
                <c:pt idx="63">
                  <c:v>21.875</c:v>
                </c:pt>
                <c:pt idx="64">
                  <c:v>21.53846153846154</c:v>
                </c:pt>
                <c:pt idx="65">
                  <c:v>21.212121212121211</c:v>
                </c:pt>
                <c:pt idx="66">
                  <c:v>20.8955223880597</c:v>
                </c:pt>
                <c:pt idx="67">
                  <c:v>20.588235294117645</c:v>
                </c:pt>
                <c:pt idx="68">
                  <c:v>20.289855072463769</c:v>
                </c:pt>
                <c:pt idx="69">
                  <c:v>20</c:v>
                </c:pt>
                <c:pt idx="70">
                  <c:v>19.718309859154928</c:v>
                </c:pt>
                <c:pt idx="71">
                  <c:v>19.444444444444446</c:v>
                </c:pt>
                <c:pt idx="72">
                  <c:v>19.17808219178082</c:v>
                </c:pt>
                <c:pt idx="73">
                  <c:v>18.918918918918919</c:v>
                </c:pt>
                <c:pt idx="74">
                  <c:v>18.666666666666668</c:v>
                </c:pt>
                <c:pt idx="75">
                  <c:v>18.421052631578945</c:v>
                </c:pt>
                <c:pt idx="76">
                  <c:v>19.480519480519483</c:v>
                </c:pt>
                <c:pt idx="77">
                  <c:v>19.230769230769234</c:v>
                </c:pt>
                <c:pt idx="78">
                  <c:v>18.9873417721519</c:v>
                </c:pt>
                <c:pt idx="79">
                  <c:v>20</c:v>
                </c:pt>
                <c:pt idx="80">
                  <c:v>19.753086419753085</c:v>
                </c:pt>
                <c:pt idx="81">
                  <c:v>20.73170731707317</c:v>
                </c:pt>
                <c:pt idx="82">
                  <c:v>20.481927710843372</c:v>
                </c:pt>
                <c:pt idx="83">
                  <c:v>20.238095238095237</c:v>
                </c:pt>
                <c:pt idx="84">
                  <c:v>20</c:v>
                </c:pt>
                <c:pt idx="85">
                  <c:v>19.767441860465116</c:v>
                </c:pt>
                <c:pt idx="86">
                  <c:v>19.540229885057471</c:v>
                </c:pt>
                <c:pt idx="87">
                  <c:v>19.318181818181817</c:v>
                </c:pt>
                <c:pt idx="88">
                  <c:v>19.101123595505616</c:v>
                </c:pt>
                <c:pt idx="89">
                  <c:v>20</c:v>
                </c:pt>
                <c:pt idx="90">
                  <c:v>19.780219780219781</c:v>
                </c:pt>
                <c:pt idx="91">
                  <c:v>19.565217391304348</c:v>
                </c:pt>
                <c:pt idx="92">
                  <c:v>19.35483870967742</c:v>
                </c:pt>
                <c:pt idx="93">
                  <c:v>19.148936170212767</c:v>
                </c:pt>
                <c:pt idx="94">
                  <c:v>18.947368421052634</c:v>
                </c:pt>
                <c:pt idx="95">
                  <c:v>18.75</c:v>
                </c:pt>
                <c:pt idx="96">
                  <c:v>18.556701030927837</c:v>
                </c:pt>
                <c:pt idx="97">
                  <c:v>18.367346938775512</c:v>
                </c:pt>
                <c:pt idx="98">
                  <c:v>18.181818181818183</c:v>
                </c:pt>
                <c:pt idx="99">
                  <c:v>18</c:v>
                </c:pt>
                <c:pt idx="100">
                  <c:v>18.811881188118811</c:v>
                </c:pt>
                <c:pt idx="101">
                  <c:v>18.627450980392158</c:v>
                </c:pt>
                <c:pt idx="102">
                  <c:v>18.446601941747574</c:v>
                </c:pt>
                <c:pt idx="103">
                  <c:v>18.269230769230766</c:v>
                </c:pt>
                <c:pt idx="104">
                  <c:v>19.047619047619047</c:v>
                </c:pt>
                <c:pt idx="105">
                  <c:v>18.867924528301888</c:v>
                </c:pt>
                <c:pt idx="106">
                  <c:v>18.691588785046729</c:v>
                </c:pt>
                <c:pt idx="107">
                  <c:v>18.518518518518519</c:v>
                </c:pt>
                <c:pt idx="108">
                  <c:v>18.348623853211009</c:v>
                </c:pt>
                <c:pt idx="109">
                  <c:v>19.090909090909093</c:v>
                </c:pt>
                <c:pt idx="110">
                  <c:v>19.81981981981982</c:v>
                </c:pt>
                <c:pt idx="111">
                  <c:v>19.642857142857142</c:v>
                </c:pt>
                <c:pt idx="112">
                  <c:v>19.469026548672566</c:v>
                </c:pt>
                <c:pt idx="113">
                  <c:v>19.298245614035086</c:v>
                </c:pt>
                <c:pt idx="114">
                  <c:v>20</c:v>
                </c:pt>
                <c:pt idx="115">
                  <c:v>19.827586206896552</c:v>
                </c:pt>
                <c:pt idx="116">
                  <c:v>19.658119658119659</c:v>
                </c:pt>
                <c:pt idx="117">
                  <c:v>19.491525423728813</c:v>
                </c:pt>
                <c:pt idx="118">
                  <c:v>19.327731092436977</c:v>
                </c:pt>
                <c:pt idx="119">
                  <c:v>19.166666666666668</c:v>
                </c:pt>
                <c:pt idx="120">
                  <c:v>19.008264462809919</c:v>
                </c:pt>
                <c:pt idx="121">
                  <c:v>19.672131147540984</c:v>
                </c:pt>
                <c:pt idx="122">
                  <c:v>20.325203252032519</c:v>
                </c:pt>
                <c:pt idx="123">
                  <c:v>20.161290322580644</c:v>
                </c:pt>
                <c:pt idx="124">
                  <c:v>20</c:v>
                </c:pt>
                <c:pt idx="125">
                  <c:v>19.841269841269842</c:v>
                </c:pt>
                <c:pt idx="126">
                  <c:v>19.685039370078741</c:v>
                </c:pt>
                <c:pt idx="127">
                  <c:v>19.53125</c:v>
                </c:pt>
                <c:pt idx="128">
                  <c:v>19.379844961240313</c:v>
                </c:pt>
                <c:pt idx="129">
                  <c:v>19.230769230769234</c:v>
                </c:pt>
                <c:pt idx="130">
                  <c:v>19.083969465648856</c:v>
                </c:pt>
                <c:pt idx="131">
                  <c:v>18.939393939393938</c:v>
                </c:pt>
                <c:pt idx="132">
                  <c:v>18.796992481203006</c:v>
                </c:pt>
                <c:pt idx="133">
                  <c:v>18.656716417910449</c:v>
                </c:pt>
                <c:pt idx="134">
                  <c:v>18.518518518518519</c:v>
                </c:pt>
                <c:pt idx="135">
                  <c:v>18.382352941176471</c:v>
                </c:pt>
                <c:pt idx="136">
                  <c:v>18.978102189781019</c:v>
                </c:pt>
                <c:pt idx="137">
                  <c:v>18.840579710144929</c:v>
                </c:pt>
                <c:pt idx="138">
                  <c:v>18.705035971223023</c:v>
                </c:pt>
                <c:pt idx="139">
                  <c:v>18.571428571428573</c:v>
                </c:pt>
                <c:pt idx="140">
                  <c:v>18.439716312056735</c:v>
                </c:pt>
                <c:pt idx="141">
                  <c:v>18.30985915492958</c:v>
                </c:pt>
                <c:pt idx="142">
                  <c:v>18.181818181818183</c:v>
                </c:pt>
                <c:pt idx="143">
                  <c:v>18.055555555555554</c:v>
                </c:pt>
                <c:pt idx="144">
                  <c:v>17.931034482758619</c:v>
                </c:pt>
                <c:pt idx="145">
                  <c:v>18.493150684931507</c:v>
                </c:pt>
                <c:pt idx="146">
                  <c:v>18.367346938775512</c:v>
                </c:pt>
                <c:pt idx="147">
                  <c:v>18.243243243243242</c:v>
                </c:pt>
                <c:pt idx="148">
                  <c:v>18.791946308724832</c:v>
                </c:pt>
                <c:pt idx="149">
                  <c:v>18.666666666666668</c:v>
                </c:pt>
                <c:pt idx="150">
                  <c:v>18.543046357615893</c:v>
                </c:pt>
                <c:pt idx="151">
                  <c:v>19.078947368421055</c:v>
                </c:pt>
                <c:pt idx="152">
                  <c:v>18.954248366013072</c:v>
                </c:pt>
                <c:pt idx="153">
                  <c:v>18.831168831168831</c:v>
                </c:pt>
                <c:pt idx="154">
                  <c:v>18.70967741935484</c:v>
                </c:pt>
                <c:pt idx="155">
                  <c:v>18.589743589743591</c:v>
                </c:pt>
                <c:pt idx="156">
                  <c:v>18.471337579617835</c:v>
                </c:pt>
                <c:pt idx="157">
                  <c:v>18.354430379746837</c:v>
                </c:pt>
                <c:pt idx="158">
                  <c:v>18.238993710691823</c:v>
                </c:pt>
                <c:pt idx="159">
                  <c:v>18.125</c:v>
                </c:pt>
                <c:pt idx="160">
                  <c:v>18.012422360248447</c:v>
                </c:pt>
                <c:pt idx="161">
                  <c:v>17.901234567901234</c:v>
                </c:pt>
                <c:pt idx="162">
                  <c:v>18.404907975460123</c:v>
                </c:pt>
                <c:pt idx="163">
                  <c:v>18.902439024390244</c:v>
                </c:pt>
                <c:pt idx="164">
                  <c:v>18.787878787878785</c:v>
                </c:pt>
                <c:pt idx="165">
                  <c:v>18.674698795180721</c:v>
                </c:pt>
                <c:pt idx="166">
                  <c:v>18.562874251497004</c:v>
                </c:pt>
                <c:pt idx="167">
                  <c:v>19.047619047619047</c:v>
                </c:pt>
                <c:pt idx="168">
                  <c:v>19.526627218934912</c:v>
                </c:pt>
                <c:pt idx="169">
                  <c:v>19.411764705882355</c:v>
                </c:pt>
                <c:pt idx="170">
                  <c:v>19.883040935672515</c:v>
                </c:pt>
                <c:pt idx="171">
                  <c:v>19.767441860465116</c:v>
                </c:pt>
                <c:pt idx="172">
                  <c:v>19.653179190751445</c:v>
                </c:pt>
                <c:pt idx="173">
                  <c:v>19.540229885057471</c:v>
                </c:pt>
                <c:pt idx="174">
                  <c:v>19.428571428571427</c:v>
                </c:pt>
                <c:pt idx="175">
                  <c:v>19.318181818181817</c:v>
                </c:pt>
                <c:pt idx="176">
                  <c:v>19.209039548022599</c:v>
                </c:pt>
                <c:pt idx="177">
                  <c:v>19.101123595505616</c:v>
                </c:pt>
                <c:pt idx="178">
                  <c:v>18.994413407821227</c:v>
                </c:pt>
                <c:pt idx="179">
                  <c:v>18.888888888888889</c:v>
                </c:pt>
                <c:pt idx="180">
                  <c:v>18.784530386740332</c:v>
                </c:pt>
                <c:pt idx="181">
                  <c:v>19.230769230769234</c:v>
                </c:pt>
                <c:pt idx="182">
                  <c:v>19.125683060109289</c:v>
                </c:pt>
                <c:pt idx="183">
                  <c:v>19.565217391304348</c:v>
                </c:pt>
                <c:pt idx="184">
                  <c:v>19.45945945945946</c:v>
                </c:pt>
                <c:pt idx="185">
                  <c:v>19.35483870967742</c:v>
                </c:pt>
                <c:pt idx="186">
                  <c:v>19.251336898395721</c:v>
                </c:pt>
                <c:pt idx="187">
                  <c:v>19.680851063829788</c:v>
                </c:pt>
                <c:pt idx="188">
                  <c:v>19.576719576719576</c:v>
                </c:pt>
                <c:pt idx="189">
                  <c:v>19.473684210526315</c:v>
                </c:pt>
                <c:pt idx="190">
                  <c:v>19.3717277486911</c:v>
                </c:pt>
                <c:pt idx="191">
                  <c:v>19.270833333333336</c:v>
                </c:pt>
                <c:pt idx="192">
                  <c:v>19.170984455958546</c:v>
                </c:pt>
                <c:pt idx="193">
                  <c:v>19.072164948453608</c:v>
                </c:pt>
                <c:pt idx="194">
                  <c:v>18.974358974358974</c:v>
                </c:pt>
                <c:pt idx="195">
                  <c:v>19.387755102040817</c:v>
                </c:pt>
                <c:pt idx="196">
                  <c:v>19.289340101522843</c:v>
                </c:pt>
                <c:pt idx="197">
                  <c:v>19.19191919191919</c:v>
                </c:pt>
                <c:pt idx="198">
                  <c:v>19.095477386934672</c:v>
                </c:pt>
                <c:pt idx="199">
                  <c:v>19.5</c:v>
                </c:pt>
                <c:pt idx="200">
                  <c:v>19.402985074626866</c:v>
                </c:pt>
                <c:pt idx="201">
                  <c:v>19.306930693069308</c:v>
                </c:pt>
                <c:pt idx="202">
                  <c:v>19.21182266009852</c:v>
                </c:pt>
                <c:pt idx="203">
                  <c:v>19.117647058823529</c:v>
                </c:pt>
                <c:pt idx="204">
                  <c:v>19.024390243902438</c:v>
                </c:pt>
                <c:pt idx="205">
                  <c:v>18.932038834951456</c:v>
                </c:pt>
                <c:pt idx="206">
                  <c:v>18.840579710144929</c:v>
                </c:pt>
                <c:pt idx="207">
                  <c:v>18.75</c:v>
                </c:pt>
                <c:pt idx="208">
                  <c:v>18.660287081339714</c:v>
                </c:pt>
                <c:pt idx="209">
                  <c:v>18.571428571428573</c:v>
                </c:pt>
                <c:pt idx="210">
                  <c:v>18.48341232227488</c:v>
                </c:pt>
                <c:pt idx="211">
                  <c:v>18.39622641509434</c:v>
                </c:pt>
                <c:pt idx="212">
                  <c:v>18.779342723004692</c:v>
                </c:pt>
                <c:pt idx="213">
                  <c:v>18.691588785046729</c:v>
                </c:pt>
                <c:pt idx="214">
                  <c:v>18.604651162790699</c:v>
                </c:pt>
                <c:pt idx="215">
                  <c:v>18.518518518518519</c:v>
                </c:pt>
                <c:pt idx="216">
                  <c:v>18.433179723502306</c:v>
                </c:pt>
                <c:pt idx="217">
                  <c:v>18.807339449541285</c:v>
                </c:pt>
                <c:pt idx="218">
                  <c:v>18.721461187214611</c:v>
                </c:pt>
                <c:pt idx="219">
                  <c:v>19.090909090909093</c:v>
                </c:pt>
                <c:pt idx="220">
                  <c:v>19.004524886877828</c:v>
                </c:pt>
                <c:pt idx="221">
                  <c:v>19.36936936936937</c:v>
                </c:pt>
                <c:pt idx="222">
                  <c:v>19.282511210762333</c:v>
                </c:pt>
                <c:pt idx="223">
                  <c:v>19.196428571428573</c:v>
                </c:pt>
                <c:pt idx="224">
                  <c:v>19.111111111111111</c:v>
                </c:pt>
                <c:pt idx="225">
                  <c:v>19.026548672566371</c:v>
                </c:pt>
                <c:pt idx="226">
                  <c:v>18.942731277533039</c:v>
                </c:pt>
                <c:pt idx="227">
                  <c:v>18.859649122807017</c:v>
                </c:pt>
                <c:pt idx="228">
                  <c:v>18.777292576419214</c:v>
                </c:pt>
                <c:pt idx="229">
                  <c:v>19.130434782608695</c:v>
                </c:pt>
                <c:pt idx="230">
                  <c:v>19.047619047619047</c:v>
                </c:pt>
                <c:pt idx="231">
                  <c:v>18.96551724137931</c:v>
                </c:pt>
                <c:pt idx="232">
                  <c:v>18.884120171673821</c:v>
                </c:pt>
                <c:pt idx="233">
                  <c:v>18.803418803418804</c:v>
                </c:pt>
                <c:pt idx="234">
                  <c:v>18.723404255319149</c:v>
                </c:pt>
                <c:pt idx="235">
                  <c:v>18.64406779661017</c:v>
                </c:pt>
                <c:pt idx="236">
                  <c:v>18.9873417721519</c:v>
                </c:pt>
                <c:pt idx="237">
                  <c:v>18.907563025210084</c:v>
                </c:pt>
                <c:pt idx="238">
                  <c:v>18.828451882845187</c:v>
                </c:pt>
                <c:pt idx="239">
                  <c:v>19.166666666666668</c:v>
                </c:pt>
                <c:pt idx="240">
                  <c:v>19.087136929460581</c:v>
                </c:pt>
                <c:pt idx="241">
                  <c:v>19.008264462809919</c:v>
                </c:pt>
                <c:pt idx="242">
                  <c:v>18.930041152263374</c:v>
                </c:pt>
                <c:pt idx="243">
                  <c:v>18.852459016393443</c:v>
                </c:pt>
                <c:pt idx="244">
                  <c:v>19.183673469387756</c:v>
                </c:pt>
                <c:pt idx="245">
                  <c:v>19.105691056910569</c:v>
                </c:pt>
                <c:pt idx="246">
                  <c:v>19.02834008097166</c:v>
                </c:pt>
                <c:pt idx="247">
                  <c:v>18.951612903225808</c:v>
                </c:pt>
                <c:pt idx="248">
                  <c:v>18.875502008032129</c:v>
                </c:pt>
                <c:pt idx="249">
                  <c:v>18.8</c:v>
                </c:pt>
                <c:pt idx="250">
                  <c:v>18.725099601593627</c:v>
                </c:pt>
                <c:pt idx="251">
                  <c:v>18.650793650793652</c:v>
                </c:pt>
                <c:pt idx="252">
                  <c:v>18.57707509881423</c:v>
                </c:pt>
                <c:pt idx="253">
                  <c:v>18.503937007874015</c:v>
                </c:pt>
                <c:pt idx="254">
                  <c:v>18.43137254901961</c:v>
                </c:pt>
                <c:pt idx="255">
                  <c:v>18.359375</c:v>
                </c:pt>
                <c:pt idx="256">
                  <c:v>18.677042801556421</c:v>
                </c:pt>
                <c:pt idx="257">
                  <c:v>18.604651162790699</c:v>
                </c:pt>
                <c:pt idx="258">
                  <c:v>18.532818532818531</c:v>
                </c:pt>
                <c:pt idx="259">
                  <c:v>18.461538461538463</c:v>
                </c:pt>
                <c:pt idx="260">
                  <c:v>18.390804597701148</c:v>
                </c:pt>
                <c:pt idx="261">
                  <c:v>18.320610687022899</c:v>
                </c:pt>
                <c:pt idx="262">
                  <c:v>18.250950570342205</c:v>
                </c:pt>
                <c:pt idx="263">
                  <c:v>18.560606060606062</c:v>
                </c:pt>
                <c:pt idx="264">
                  <c:v>18.490566037735849</c:v>
                </c:pt>
                <c:pt idx="265">
                  <c:v>18.421052631578945</c:v>
                </c:pt>
                <c:pt idx="266">
                  <c:v>18.352059925093634</c:v>
                </c:pt>
                <c:pt idx="267">
                  <c:v>18.28358208955224</c:v>
                </c:pt>
                <c:pt idx="268">
                  <c:v>18.21561338289963</c:v>
                </c:pt>
                <c:pt idx="269">
                  <c:v>18.148148148148149</c:v>
                </c:pt>
                <c:pt idx="270">
                  <c:v>18.081180811808117</c:v>
                </c:pt>
                <c:pt idx="271">
                  <c:v>18.382352941176471</c:v>
                </c:pt>
                <c:pt idx="272">
                  <c:v>18.681318681318682</c:v>
                </c:pt>
                <c:pt idx="273">
                  <c:v>18.613138686131386</c:v>
                </c:pt>
                <c:pt idx="274">
                  <c:v>18.545454545454547</c:v>
                </c:pt>
                <c:pt idx="275">
                  <c:v>18.840579710144929</c:v>
                </c:pt>
                <c:pt idx="276">
                  <c:v>19.133574007220215</c:v>
                </c:pt>
                <c:pt idx="277">
                  <c:v>19.064748201438849</c:v>
                </c:pt>
                <c:pt idx="278">
                  <c:v>18.996415770609318</c:v>
                </c:pt>
                <c:pt idx="279">
                  <c:v>19.285714285714288</c:v>
                </c:pt>
                <c:pt idx="280">
                  <c:v>19.572953736654807</c:v>
                </c:pt>
                <c:pt idx="281">
                  <c:v>19.50354609929078</c:v>
                </c:pt>
                <c:pt idx="282">
                  <c:v>19.434628975265017</c:v>
                </c:pt>
                <c:pt idx="283">
                  <c:v>19.366197183098592</c:v>
                </c:pt>
                <c:pt idx="284">
                  <c:v>19.298245614035086</c:v>
                </c:pt>
                <c:pt idx="285">
                  <c:v>19.230769230769234</c:v>
                </c:pt>
                <c:pt idx="286">
                  <c:v>19.16376306620209</c:v>
                </c:pt>
                <c:pt idx="287">
                  <c:v>19.097222222222221</c:v>
                </c:pt>
                <c:pt idx="288">
                  <c:v>19.031141868512112</c:v>
                </c:pt>
                <c:pt idx="289">
                  <c:v>19.310344827586206</c:v>
                </c:pt>
                <c:pt idx="290">
                  <c:v>19.243986254295535</c:v>
                </c:pt>
                <c:pt idx="291">
                  <c:v>19.17808219178082</c:v>
                </c:pt>
                <c:pt idx="292">
                  <c:v>19.453924914675767</c:v>
                </c:pt>
                <c:pt idx="293">
                  <c:v>19.727891156462583</c:v>
                </c:pt>
                <c:pt idx="294">
                  <c:v>19.661016949152543</c:v>
                </c:pt>
                <c:pt idx="295">
                  <c:v>19.594594594594593</c:v>
                </c:pt>
                <c:pt idx="296">
                  <c:v>19.528619528619529</c:v>
                </c:pt>
                <c:pt idx="297">
                  <c:v>19.463087248322147</c:v>
                </c:pt>
                <c:pt idx="298">
                  <c:v>19.397993311036789</c:v>
                </c:pt>
                <c:pt idx="299">
                  <c:v>19.333333333333332</c:v>
                </c:pt>
                <c:pt idx="300">
                  <c:v>19.269102990033225</c:v>
                </c:pt>
                <c:pt idx="301">
                  <c:v>19.205298013245034</c:v>
                </c:pt>
                <c:pt idx="302">
                  <c:v>19.141914191419144</c:v>
                </c:pt>
                <c:pt idx="303">
                  <c:v>19.407894736842106</c:v>
                </c:pt>
                <c:pt idx="304">
                  <c:v>19.344262295081968</c:v>
                </c:pt>
                <c:pt idx="305">
                  <c:v>19.281045751633989</c:v>
                </c:pt>
                <c:pt idx="306">
                  <c:v>19.218241042345277</c:v>
                </c:pt>
                <c:pt idx="307">
                  <c:v>19.480519480519483</c:v>
                </c:pt>
                <c:pt idx="308">
                  <c:v>19.417475728155338</c:v>
                </c:pt>
                <c:pt idx="309">
                  <c:v>19.677419354838712</c:v>
                </c:pt>
                <c:pt idx="310">
                  <c:v>19.935691318327976</c:v>
                </c:pt>
                <c:pt idx="311">
                  <c:v>20.192307692307693</c:v>
                </c:pt>
                <c:pt idx="312">
                  <c:v>20.12779552715655</c:v>
                </c:pt>
                <c:pt idx="313">
                  <c:v>20.063694267515924</c:v>
                </c:pt>
                <c:pt idx="314">
                  <c:v>20</c:v>
                </c:pt>
                <c:pt idx="315">
                  <c:v>19.936708860759495</c:v>
                </c:pt>
                <c:pt idx="316">
                  <c:v>20.189274447949526</c:v>
                </c:pt>
                <c:pt idx="317">
                  <c:v>20.125786163522015</c:v>
                </c:pt>
                <c:pt idx="318">
                  <c:v>20.062695924764888</c:v>
                </c:pt>
                <c:pt idx="319">
                  <c:v>20</c:v>
                </c:pt>
                <c:pt idx="320">
                  <c:v>19.937694704049843</c:v>
                </c:pt>
                <c:pt idx="321">
                  <c:v>19.875776397515526</c:v>
                </c:pt>
                <c:pt idx="322">
                  <c:v>19.814241486068113</c:v>
                </c:pt>
                <c:pt idx="323">
                  <c:v>19.753086419753085</c:v>
                </c:pt>
                <c:pt idx="324">
                  <c:v>20</c:v>
                </c:pt>
                <c:pt idx="325">
                  <c:v>19.938650306748464</c:v>
                </c:pt>
                <c:pt idx="326">
                  <c:v>19.877675840978593</c:v>
                </c:pt>
                <c:pt idx="327">
                  <c:v>19.817073170731707</c:v>
                </c:pt>
                <c:pt idx="328">
                  <c:v>19.756838905775076</c:v>
                </c:pt>
                <c:pt idx="329">
                  <c:v>19.696969696969695</c:v>
                </c:pt>
                <c:pt idx="330">
                  <c:v>19.637462235649547</c:v>
                </c:pt>
                <c:pt idx="331">
                  <c:v>19.879518072289155</c:v>
                </c:pt>
                <c:pt idx="332">
                  <c:v>19.81981981981982</c:v>
                </c:pt>
                <c:pt idx="333">
                  <c:v>19.760479041916167</c:v>
                </c:pt>
                <c:pt idx="334">
                  <c:v>19.701492537313435</c:v>
                </c:pt>
                <c:pt idx="335">
                  <c:v>19.940476190476193</c:v>
                </c:pt>
                <c:pt idx="336">
                  <c:v>19.881305637982198</c:v>
                </c:pt>
                <c:pt idx="337">
                  <c:v>19.822485207100591</c:v>
                </c:pt>
                <c:pt idx="338">
                  <c:v>19.764011799410032</c:v>
                </c:pt>
                <c:pt idx="339">
                  <c:v>19.705882352941178</c:v>
                </c:pt>
                <c:pt idx="340">
                  <c:v>19.648093841642229</c:v>
                </c:pt>
                <c:pt idx="341">
                  <c:v>19.5906432748538</c:v>
                </c:pt>
                <c:pt idx="342">
                  <c:v>19.533527696793001</c:v>
                </c:pt>
                <c:pt idx="343">
                  <c:v>19.476744186046513</c:v>
                </c:pt>
                <c:pt idx="344">
                  <c:v>19.420289855072465</c:v>
                </c:pt>
                <c:pt idx="345">
                  <c:v>19.364161849710982</c:v>
                </c:pt>
                <c:pt idx="346">
                  <c:v>19.308357348703169</c:v>
                </c:pt>
                <c:pt idx="347">
                  <c:v>19.25287356321839</c:v>
                </c:pt>
                <c:pt idx="348">
                  <c:v>19.197707736389685</c:v>
                </c:pt>
                <c:pt idx="349">
                  <c:v>19.142857142857142</c:v>
                </c:pt>
                <c:pt idx="350">
                  <c:v>19.088319088319089</c:v>
                </c:pt>
                <c:pt idx="351">
                  <c:v>19.03409090909091</c:v>
                </c:pt>
                <c:pt idx="352">
                  <c:v>18.980169971671387</c:v>
                </c:pt>
                <c:pt idx="353">
                  <c:v>18.926553672316384</c:v>
                </c:pt>
                <c:pt idx="354">
                  <c:v>19.154929577464788</c:v>
                </c:pt>
                <c:pt idx="355">
                  <c:v>19.101123595505616</c:v>
                </c:pt>
                <c:pt idx="356">
                  <c:v>19.047619047619047</c:v>
                </c:pt>
                <c:pt idx="357">
                  <c:v>18.994413407821227</c:v>
                </c:pt>
                <c:pt idx="358">
                  <c:v>18.941504178272979</c:v>
                </c:pt>
                <c:pt idx="359">
                  <c:v>18.888888888888889</c:v>
                </c:pt>
                <c:pt idx="360">
                  <c:v>18.83656509695291</c:v>
                </c:pt>
                <c:pt idx="361">
                  <c:v>18.784530386740332</c:v>
                </c:pt>
                <c:pt idx="362">
                  <c:v>18.732782369146005</c:v>
                </c:pt>
                <c:pt idx="363">
                  <c:v>18.681318681318682</c:v>
                </c:pt>
                <c:pt idx="364">
                  <c:v>18.63013698630137</c:v>
                </c:pt>
                <c:pt idx="365">
                  <c:v>18.579234972677597</c:v>
                </c:pt>
                <c:pt idx="366">
                  <c:v>18.528610354223432</c:v>
                </c:pt>
                <c:pt idx="367">
                  <c:v>18.478260869565215</c:v>
                </c:pt>
                <c:pt idx="368">
                  <c:v>18.428184281842817</c:v>
                </c:pt>
                <c:pt idx="369">
                  <c:v>18.378378378378379</c:v>
                </c:pt>
                <c:pt idx="370">
                  <c:v>18.598382749326145</c:v>
                </c:pt>
                <c:pt idx="371">
                  <c:v>18.548387096774192</c:v>
                </c:pt>
                <c:pt idx="372">
                  <c:v>18.498659517426276</c:v>
                </c:pt>
                <c:pt idx="373">
                  <c:v>18.449197860962567</c:v>
                </c:pt>
                <c:pt idx="374">
                  <c:v>18.399999999999999</c:v>
                </c:pt>
                <c:pt idx="375">
                  <c:v>18.351063829787233</c:v>
                </c:pt>
                <c:pt idx="376">
                  <c:v>18.302387267904511</c:v>
                </c:pt>
                <c:pt idx="377">
                  <c:v>18.253968253968253</c:v>
                </c:pt>
                <c:pt idx="378">
                  <c:v>18.20580474934037</c:v>
                </c:pt>
                <c:pt idx="379">
                  <c:v>18.157894736842106</c:v>
                </c:pt>
                <c:pt idx="380">
                  <c:v>18.110236220472441</c:v>
                </c:pt>
                <c:pt idx="381">
                  <c:v>18.062827225130889</c:v>
                </c:pt>
                <c:pt idx="382">
                  <c:v>18.276762402088771</c:v>
                </c:pt>
                <c:pt idx="383">
                  <c:v>18.229166666666664</c:v>
                </c:pt>
                <c:pt idx="384">
                  <c:v>18.181818181818183</c:v>
                </c:pt>
                <c:pt idx="385">
                  <c:v>18.134715025906736</c:v>
                </c:pt>
                <c:pt idx="386">
                  <c:v>18.087855297157624</c:v>
                </c:pt>
                <c:pt idx="387">
                  <c:v>18.041237113402062</c:v>
                </c:pt>
                <c:pt idx="388">
                  <c:v>18.251928020565554</c:v>
                </c:pt>
                <c:pt idx="389">
                  <c:v>18.205128205128204</c:v>
                </c:pt>
                <c:pt idx="390">
                  <c:v>18.15856777493606</c:v>
                </c:pt>
                <c:pt idx="391">
                  <c:v>18.112244897959183</c:v>
                </c:pt>
                <c:pt idx="392">
                  <c:v>18.066157760814249</c:v>
                </c:pt>
                <c:pt idx="393">
                  <c:v>18.020304568527919</c:v>
                </c:pt>
                <c:pt idx="394">
                  <c:v>17.974683544303797</c:v>
                </c:pt>
                <c:pt idx="395">
                  <c:v>17.929292929292927</c:v>
                </c:pt>
                <c:pt idx="396">
                  <c:v>18.136020151133501</c:v>
                </c:pt>
                <c:pt idx="397">
                  <c:v>18.090452261306535</c:v>
                </c:pt>
                <c:pt idx="398">
                  <c:v>18.295739348370926</c:v>
                </c:pt>
                <c:pt idx="399">
                  <c:v>18.5</c:v>
                </c:pt>
                <c:pt idx="400">
                  <c:v>18.703241895261847</c:v>
                </c:pt>
                <c:pt idx="401">
                  <c:v>18.656716417910449</c:v>
                </c:pt>
                <c:pt idx="402">
                  <c:v>18.858560794044664</c:v>
                </c:pt>
                <c:pt idx="403">
                  <c:v>18.811881188118811</c:v>
                </c:pt>
                <c:pt idx="404">
                  <c:v>18.765432098765434</c:v>
                </c:pt>
                <c:pt idx="405">
                  <c:v>18.7192118226601</c:v>
                </c:pt>
                <c:pt idx="406">
                  <c:v>18.67321867321867</c:v>
                </c:pt>
                <c:pt idx="407">
                  <c:v>18.627450980392158</c:v>
                </c:pt>
                <c:pt idx="408">
                  <c:v>18.581907090464547</c:v>
                </c:pt>
                <c:pt idx="409">
                  <c:v>18.780487804878049</c:v>
                </c:pt>
                <c:pt idx="410">
                  <c:v>18.734793187347933</c:v>
                </c:pt>
                <c:pt idx="411">
                  <c:v>18.932038834951456</c:v>
                </c:pt>
                <c:pt idx="412">
                  <c:v>18.886198547215496</c:v>
                </c:pt>
                <c:pt idx="413">
                  <c:v>18.840579710144929</c:v>
                </c:pt>
                <c:pt idx="414">
                  <c:v>19.036144578313252</c:v>
                </c:pt>
                <c:pt idx="415">
                  <c:v>18.990384615384613</c:v>
                </c:pt>
                <c:pt idx="416">
                  <c:v>18.944844124700239</c:v>
                </c:pt>
                <c:pt idx="417">
                  <c:v>19.138755980861244</c:v>
                </c:pt>
                <c:pt idx="418">
                  <c:v>19.331742243436754</c:v>
                </c:pt>
                <c:pt idx="419">
                  <c:v>19.285714285714288</c:v>
                </c:pt>
                <c:pt idx="420">
                  <c:v>19.239904988123516</c:v>
                </c:pt>
                <c:pt idx="421">
                  <c:v>19.194312796208532</c:v>
                </c:pt>
                <c:pt idx="422">
                  <c:v>19.148936170212767</c:v>
                </c:pt>
                <c:pt idx="423">
                  <c:v>19.10377358490566</c:v>
                </c:pt>
                <c:pt idx="424">
                  <c:v>19.058823529411764</c:v>
                </c:pt>
                <c:pt idx="425">
                  <c:v>19.014084507042252</c:v>
                </c:pt>
                <c:pt idx="426">
                  <c:v>18.969555035128806</c:v>
                </c:pt>
                <c:pt idx="427">
                  <c:v>18.925233644859812</c:v>
                </c:pt>
                <c:pt idx="428">
                  <c:v>18.88111888111888</c:v>
                </c:pt>
                <c:pt idx="429">
                  <c:v>19.069767441860467</c:v>
                </c:pt>
                <c:pt idx="430">
                  <c:v>19.025522041763342</c:v>
                </c:pt>
                <c:pt idx="431">
                  <c:v>18.981481481481481</c:v>
                </c:pt>
                <c:pt idx="432">
                  <c:v>19.168591224018474</c:v>
                </c:pt>
                <c:pt idx="433">
                  <c:v>19.124423963133641</c:v>
                </c:pt>
                <c:pt idx="434">
                  <c:v>19.080459770114942</c:v>
                </c:pt>
                <c:pt idx="435">
                  <c:v>19.036697247706421</c:v>
                </c:pt>
                <c:pt idx="436">
                  <c:v>18.993135011441648</c:v>
                </c:pt>
                <c:pt idx="437">
                  <c:v>18.949771689497716</c:v>
                </c:pt>
                <c:pt idx="438">
                  <c:v>18.906605922551254</c:v>
                </c:pt>
                <c:pt idx="439">
                  <c:v>18.863636363636363</c:v>
                </c:pt>
                <c:pt idx="440">
                  <c:v>18.820861678004537</c:v>
                </c:pt>
                <c:pt idx="441">
                  <c:v>19.004524886877828</c:v>
                </c:pt>
                <c:pt idx="442">
                  <c:v>18.961625282167045</c:v>
                </c:pt>
                <c:pt idx="443">
                  <c:v>18.918918918918919</c:v>
                </c:pt>
                <c:pt idx="444">
                  <c:v>18.876404494382022</c:v>
                </c:pt>
                <c:pt idx="445">
                  <c:v>18.834080717488789</c:v>
                </c:pt>
                <c:pt idx="446">
                  <c:v>18.791946308724832</c:v>
                </c:pt>
                <c:pt idx="447">
                  <c:v>18.75</c:v>
                </c:pt>
                <c:pt idx="448">
                  <c:v>18.70824053452116</c:v>
                </c:pt>
                <c:pt idx="449">
                  <c:v>18.666666666666668</c:v>
                </c:pt>
                <c:pt idx="450">
                  <c:v>18.625277161862527</c:v>
                </c:pt>
                <c:pt idx="451">
                  <c:v>18.805309734513273</c:v>
                </c:pt>
                <c:pt idx="452">
                  <c:v>18.763796909492271</c:v>
                </c:pt>
                <c:pt idx="453">
                  <c:v>18.722466960352424</c:v>
                </c:pt>
                <c:pt idx="454">
                  <c:v>18.681318681318682</c:v>
                </c:pt>
                <c:pt idx="455">
                  <c:v>18.640350877192983</c:v>
                </c:pt>
                <c:pt idx="456">
                  <c:v>18.599562363238512</c:v>
                </c:pt>
                <c:pt idx="457">
                  <c:v>18.5589519650655</c:v>
                </c:pt>
                <c:pt idx="458">
                  <c:v>18.736383442265794</c:v>
                </c:pt>
                <c:pt idx="459">
                  <c:v>18.695652173913043</c:v>
                </c:pt>
                <c:pt idx="460">
                  <c:v>18.655097613882862</c:v>
                </c:pt>
                <c:pt idx="461">
                  <c:v>18.614718614718615</c:v>
                </c:pt>
                <c:pt idx="462">
                  <c:v>18.574514038876892</c:v>
                </c:pt>
                <c:pt idx="463">
                  <c:v>18.75</c:v>
                </c:pt>
                <c:pt idx="464">
                  <c:v>18.70967741935484</c:v>
                </c:pt>
                <c:pt idx="465">
                  <c:v>18.669527896995707</c:v>
                </c:pt>
                <c:pt idx="466">
                  <c:v>18.629550321199144</c:v>
                </c:pt>
                <c:pt idx="467">
                  <c:v>18.589743589743591</c:v>
                </c:pt>
                <c:pt idx="468">
                  <c:v>18.550106609808104</c:v>
                </c:pt>
                <c:pt idx="469">
                  <c:v>18.51063829787234</c:v>
                </c:pt>
                <c:pt idx="470">
                  <c:v>18.471337579617835</c:v>
                </c:pt>
                <c:pt idx="471">
                  <c:v>18.432203389830509</c:v>
                </c:pt>
                <c:pt idx="472">
                  <c:v>18.393234672304441</c:v>
                </c:pt>
                <c:pt idx="473">
                  <c:v>18.354430379746837</c:v>
                </c:pt>
                <c:pt idx="474">
                  <c:v>18.315789473684209</c:v>
                </c:pt>
                <c:pt idx="475">
                  <c:v>18.277310924369747</c:v>
                </c:pt>
                <c:pt idx="476">
                  <c:v>18.238993710691823</c:v>
                </c:pt>
                <c:pt idx="477">
                  <c:v>18.200836820083683</c:v>
                </c:pt>
                <c:pt idx="478">
                  <c:v>18.162839248434238</c:v>
                </c:pt>
                <c:pt idx="479">
                  <c:v>18.333333333333332</c:v>
                </c:pt>
                <c:pt idx="480">
                  <c:v>18.295218295218298</c:v>
                </c:pt>
                <c:pt idx="481">
                  <c:v>18.257261410788381</c:v>
                </c:pt>
                <c:pt idx="482">
                  <c:v>18.219461697722565</c:v>
                </c:pt>
                <c:pt idx="483">
                  <c:v>18.181818181818183</c:v>
                </c:pt>
                <c:pt idx="484">
                  <c:v>18.350515463917525</c:v>
                </c:pt>
                <c:pt idx="485">
                  <c:v>18.31275720164609</c:v>
                </c:pt>
                <c:pt idx="486">
                  <c:v>18.275154004106774</c:v>
                </c:pt>
                <c:pt idx="487">
                  <c:v>18.237704918032787</c:v>
                </c:pt>
                <c:pt idx="488">
                  <c:v>18.200408997955012</c:v>
                </c:pt>
                <c:pt idx="489">
                  <c:v>18.163265306122451</c:v>
                </c:pt>
                <c:pt idx="490">
                  <c:v>18.126272912423623</c:v>
                </c:pt>
                <c:pt idx="491">
                  <c:v>18.089430894308943</c:v>
                </c:pt>
                <c:pt idx="492">
                  <c:v>18.255578093306287</c:v>
                </c:pt>
                <c:pt idx="493">
                  <c:v>18.218623481781375</c:v>
                </c:pt>
                <c:pt idx="494">
                  <c:v>18.181818181818183</c:v>
                </c:pt>
                <c:pt idx="495">
                  <c:v>18.14516129032258</c:v>
                </c:pt>
                <c:pt idx="496">
                  <c:v>18.108651911468812</c:v>
                </c:pt>
                <c:pt idx="497">
                  <c:v>18.273092369477911</c:v>
                </c:pt>
                <c:pt idx="498">
                  <c:v>18.236472945891784</c:v>
                </c:pt>
                <c:pt idx="499">
                  <c:v>18.2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C3-4541-AA38-C79BD77F84B4}"/>
            </c:ext>
          </c:extLst>
        </c:ser>
        <c:ser>
          <c:idx val="2"/>
          <c:order val="2"/>
          <c:tx>
            <c:strRef>
              <c:f>Dice!$K$1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Dice!$K$2:$K$501</c:f>
              <c:numCache>
                <c:formatCode>General</c:formatCode>
                <c:ptCount val="500"/>
                <c:pt idx="0">
                  <c:v>0</c:v>
                </c:pt>
                <c:pt idx="1">
                  <c:v>50</c:v>
                </c:pt>
                <c:pt idx="2">
                  <c:v>33.333333333333329</c:v>
                </c:pt>
                <c:pt idx="3">
                  <c:v>25</c:v>
                </c:pt>
                <c:pt idx="4">
                  <c:v>20</c:v>
                </c:pt>
                <c:pt idx="5">
                  <c:v>16.666666666666664</c:v>
                </c:pt>
                <c:pt idx="6">
                  <c:v>14.285714285714285</c:v>
                </c:pt>
                <c:pt idx="7">
                  <c:v>12.5</c:v>
                </c:pt>
                <c:pt idx="8">
                  <c:v>11.111111111111111</c:v>
                </c:pt>
                <c:pt idx="9">
                  <c:v>20</c:v>
                </c:pt>
                <c:pt idx="10">
                  <c:v>18.181818181818183</c:v>
                </c:pt>
                <c:pt idx="11">
                  <c:v>25</c:v>
                </c:pt>
                <c:pt idx="12">
                  <c:v>23.076923076923077</c:v>
                </c:pt>
                <c:pt idx="13">
                  <c:v>21.428571428571427</c:v>
                </c:pt>
                <c:pt idx="14">
                  <c:v>20</c:v>
                </c:pt>
                <c:pt idx="15">
                  <c:v>18.75</c:v>
                </c:pt>
                <c:pt idx="16">
                  <c:v>17.647058823529413</c:v>
                </c:pt>
                <c:pt idx="17">
                  <c:v>16.666666666666664</c:v>
                </c:pt>
                <c:pt idx="18">
                  <c:v>15.789473684210526</c:v>
                </c:pt>
                <c:pt idx="19">
                  <c:v>15</c:v>
                </c:pt>
                <c:pt idx="20">
                  <c:v>14.285714285714285</c:v>
                </c:pt>
                <c:pt idx="21">
                  <c:v>18.181818181818183</c:v>
                </c:pt>
                <c:pt idx="22">
                  <c:v>17.391304347826086</c:v>
                </c:pt>
                <c:pt idx="23">
                  <c:v>16.666666666666664</c:v>
                </c:pt>
                <c:pt idx="24">
                  <c:v>16</c:v>
                </c:pt>
                <c:pt idx="25">
                  <c:v>19.230769230769234</c:v>
                </c:pt>
                <c:pt idx="26">
                  <c:v>18.518518518518519</c:v>
                </c:pt>
                <c:pt idx="27">
                  <c:v>17.857142857142858</c:v>
                </c:pt>
                <c:pt idx="28">
                  <c:v>17.241379310344829</c:v>
                </c:pt>
                <c:pt idx="29">
                  <c:v>16.666666666666664</c:v>
                </c:pt>
                <c:pt idx="30">
                  <c:v>16.129032258064516</c:v>
                </c:pt>
                <c:pt idx="31">
                  <c:v>15.625</c:v>
                </c:pt>
                <c:pt idx="32">
                  <c:v>15.151515151515152</c:v>
                </c:pt>
                <c:pt idx="33">
                  <c:v>14.705882352941178</c:v>
                </c:pt>
                <c:pt idx="34">
                  <c:v>17.142857142857142</c:v>
                </c:pt>
                <c:pt idx="35">
                  <c:v>16.666666666666664</c:v>
                </c:pt>
                <c:pt idx="36">
                  <c:v>16.216216216216218</c:v>
                </c:pt>
                <c:pt idx="37">
                  <c:v>15.789473684210526</c:v>
                </c:pt>
                <c:pt idx="38">
                  <c:v>15.384615384615385</c:v>
                </c:pt>
                <c:pt idx="39">
                  <c:v>15</c:v>
                </c:pt>
                <c:pt idx="40">
                  <c:v>14.634146341463413</c:v>
                </c:pt>
                <c:pt idx="41">
                  <c:v>14.285714285714285</c:v>
                </c:pt>
                <c:pt idx="42">
                  <c:v>13.953488372093023</c:v>
                </c:pt>
                <c:pt idx="43">
                  <c:v>13.636363636363635</c:v>
                </c:pt>
                <c:pt idx="44">
                  <c:v>13.333333333333334</c:v>
                </c:pt>
                <c:pt idx="45">
                  <c:v>13.043478260869565</c:v>
                </c:pt>
                <c:pt idx="46">
                  <c:v>12.76595744680851</c:v>
                </c:pt>
                <c:pt idx="47">
                  <c:v>12.5</c:v>
                </c:pt>
                <c:pt idx="48">
                  <c:v>12.244897959183673</c:v>
                </c:pt>
                <c:pt idx="49">
                  <c:v>12</c:v>
                </c:pt>
                <c:pt idx="50">
                  <c:v>11.76470588235294</c:v>
                </c:pt>
                <c:pt idx="51">
                  <c:v>11.538461538461538</c:v>
                </c:pt>
                <c:pt idx="52">
                  <c:v>11.320754716981133</c:v>
                </c:pt>
                <c:pt idx="53">
                  <c:v>11.111111111111111</c:v>
                </c:pt>
                <c:pt idx="54">
                  <c:v>10.909090909090908</c:v>
                </c:pt>
                <c:pt idx="55">
                  <c:v>10.714285714285714</c:v>
                </c:pt>
                <c:pt idx="56">
                  <c:v>10.526315789473683</c:v>
                </c:pt>
                <c:pt idx="57">
                  <c:v>12.068965517241379</c:v>
                </c:pt>
                <c:pt idx="58">
                  <c:v>11.864406779661017</c:v>
                </c:pt>
                <c:pt idx="59">
                  <c:v>11.666666666666666</c:v>
                </c:pt>
                <c:pt idx="60">
                  <c:v>13.114754098360656</c:v>
                </c:pt>
                <c:pt idx="61">
                  <c:v>12.903225806451612</c:v>
                </c:pt>
                <c:pt idx="62">
                  <c:v>12.698412698412698</c:v>
                </c:pt>
                <c:pt idx="63">
                  <c:v>14.0625</c:v>
                </c:pt>
                <c:pt idx="64">
                  <c:v>13.846153846153847</c:v>
                </c:pt>
                <c:pt idx="65">
                  <c:v>13.636363636363635</c:v>
                </c:pt>
                <c:pt idx="66">
                  <c:v>14.925373134328357</c:v>
                </c:pt>
                <c:pt idx="67">
                  <c:v>14.705882352941178</c:v>
                </c:pt>
                <c:pt idx="68">
                  <c:v>15.942028985507244</c:v>
                </c:pt>
                <c:pt idx="69">
                  <c:v>15.714285714285714</c:v>
                </c:pt>
                <c:pt idx="70">
                  <c:v>15.492957746478872</c:v>
                </c:pt>
                <c:pt idx="71">
                  <c:v>15.277777777777779</c:v>
                </c:pt>
                <c:pt idx="72">
                  <c:v>15.068493150684931</c:v>
                </c:pt>
                <c:pt idx="73">
                  <c:v>14.864864864864865</c:v>
                </c:pt>
                <c:pt idx="74">
                  <c:v>14.666666666666666</c:v>
                </c:pt>
                <c:pt idx="75">
                  <c:v>14.473684210526317</c:v>
                </c:pt>
                <c:pt idx="76">
                  <c:v>14.285714285714285</c:v>
                </c:pt>
                <c:pt idx="77">
                  <c:v>14.102564102564102</c:v>
                </c:pt>
                <c:pt idx="78">
                  <c:v>15.18987341772152</c:v>
                </c:pt>
                <c:pt idx="79">
                  <c:v>15</c:v>
                </c:pt>
                <c:pt idx="80">
                  <c:v>14.814814814814813</c:v>
                </c:pt>
                <c:pt idx="81">
                  <c:v>14.634146341463413</c:v>
                </c:pt>
                <c:pt idx="82">
                  <c:v>14.457831325301203</c:v>
                </c:pt>
                <c:pt idx="83">
                  <c:v>15.476190476190476</c:v>
                </c:pt>
                <c:pt idx="84">
                  <c:v>16.470588235294116</c:v>
                </c:pt>
                <c:pt idx="85">
                  <c:v>17.441860465116278</c:v>
                </c:pt>
                <c:pt idx="86">
                  <c:v>17.241379310344829</c:v>
                </c:pt>
                <c:pt idx="87">
                  <c:v>17.045454545454543</c:v>
                </c:pt>
                <c:pt idx="88">
                  <c:v>16.853932584269664</c:v>
                </c:pt>
                <c:pt idx="89">
                  <c:v>16.666666666666664</c:v>
                </c:pt>
                <c:pt idx="90">
                  <c:v>16.483516483516482</c:v>
                </c:pt>
                <c:pt idx="91">
                  <c:v>17.391304347826086</c:v>
                </c:pt>
                <c:pt idx="92">
                  <c:v>17.20430107526882</c:v>
                </c:pt>
                <c:pt idx="93">
                  <c:v>17.021276595744681</c:v>
                </c:pt>
                <c:pt idx="94">
                  <c:v>17.894736842105264</c:v>
                </c:pt>
                <c:pt idx="95">
                  <c:v>17.708333333333336</c:v>
                </c:pt>
                <c:pt idx="96">
                  <c:v>17.525773195876287</c:v>
                </c:pt>
                <c:pt idx="97">
                  <c:v>17.346938775510203</c:v>
                </c:pt>
                <c:pt idx="98">
                  <c:v>18.181818181818183</c:v>
                </c:pt>
                <c:pt idx="99">
                  <c:v>18</c:v>
                </c:pt>
                <c:pt idx="100">
                  <c:v>17.82178217821782</c:v>
                </c:pt>
                <c:pt idx="101">
                  <c:v>17.647058823529413</c:v>
                </c:pt>
                <c:pt idx="102">
                  <c:v>17.475728155339805</c:v>
                </c:pt>
                <c:pt idx="103">
                  <c:v>17.307692307692307</c:v>
                </c:pt>
                <c:pt idx="104">
                  <c:v>17.142857142857142</c:v>
                </c:pt>
                <c:pt idx="105">
                  <c:v>17.924528301886792</c:v>
                </c:pt>
                <c:pt idx="106">
                  <c:v>17.75700934579439</c:v>
                </c:pt>
                <c:pt idx="107">
                  <c:v>18.518518518518519</c:v>
                </c:pt>
                <c:pt idx="108">
                  <c:v>18.348623853211009</c:v>
                </c:pt>
                <c:pt idx="109">
                  <c:v>18.181818181818183</c:v>
                </c:pt>
                <c:pt idx="110">
                  <c:v>18.018018018018019</c:v>
                </c:pt>
                <c:pt idx="111">
                  <c:v>17.857142857142858</c:v>
                </c:pt>
                <c:pt idx="112">
                  <c:v>17.699115044247787</c:v>
                </c:pt>
                <c:pt idx="113">
                  <c:v>17.543859649122805</c:v>
                </c:pt>
                <c:pt idx="114">
                  <c:v>17.391304347826086</c:v>
                </c:pt>
                <c:pt idx="115">
                  <c:v>17.241379310344829</c:v>
                </c:pt>
                <c:pt idx="116">
                  <c:v>17.094017094017094</c:v>
                </c:pt>
                <c:pt idx="117">
                  <c:v>16.949152542372879</c:v>
                </c:pt>
                <c:pt idx="118">
                  <c:v>16.806722689075631</c:v>
                </c:pt>
                <c:pt idx="119">
                  <c:v>17.5</c:v>
                </c:pt>
                <c:pt idx="120">
                  <c:v>18.181818181818183</c:v>
                </c:pt>
                <c:pt idx="121">
                  <c:v>18.032786885245901</c:v>
                </c:pt>
                <c:pt idx="122">
                  <c:v>17.886178861788618</c:v>
                </c:pt>
                <c:pt idx="123">
                  <c:v>17.741935483870968</c:v>
                </c:pt>
                <c:pt idx="124">
                  <c:v>17.599999999999998</c:v>
                </c:pt>
                <c:pt idx="125">
                  <c:v>17.460317460317459</c:v>
                </c:pt>
                <c:pt idx="126">
                  <c:v>18.110236220472441</c:v>
                </c:pt>
                <c:pt idx="127">
                  <c:v>18.75</c:v>
                </c:pt>
                <c:pt idx="128">
                  <c:v>18.604651162790699</c:v>
                </c:pt>
                <c:pt idx="129">
                  <c:v>18.461538461538463</c:v>
                </c:pt>
                <c:pt idx="130">
                  <c:v>18.320610687022899</c:v>
                </c:pt>
                <c:pt idx="131">
                  <c:v>18.939393939393938</c:v>
                </c:pt>
                <c:pt idx="132">
                  <c:v>18.796992481203006</c:v>
                </c:pt>
                <c:pt idx="133">
                  <c:v>18.656716417910449</c:v>
                </c:pt>
                <c:pt idx="134">
                  <c:v>18.518518518518519</c:v>
                </c:pt>
                <c:pt idx="135">
                  <c:v>18.382352941176471</c:v>
                </c:pt>
                <c:pt idx="136">
                  <c:v>18.248175182481752</c:v>
                </c:pt>
                <c:pt idx="137">
                  <c:v>18.115942028985508</c:v>
                </c:pt>
                <c:pt idx="138">
                  <c:v>17.985611510791365</c:v>
                </c:pt>
                <c:pt idx="139">
                  <c:v>17.857142857142858</c:v>
                </c:pt>
                <c:pt idx="140">
                  <c:v>17.730496453900709</c:v>
                </c:pt>
                <c:pt idx="141">
                  <c:v>17.6056338028169</c:v>
                </c:pt>
                <c:pt idx="142">
                  <c:v>17.482517482517483</c:v>
                </c:pt>
                <c:pt idx="143">
                  <c:v>17.361111111111111</c:v>
                </c:pt>
                <c:pt idx="144">
                  <c:v>17.241379310344829</c:v>
                </c:pt>
                <c:pt idx="145">
                  <c:v>17.123287671232877</c:v>
                </c:pt>
                <c:pt idx="146">
                  <c:v>17.006802721088434</c:v>
                </c:pt>
                <c:pt idx="147">
                  <c:v>17.567567567567568</c:v>
                </c:pt>
                <c:pt idx="148">
                  <c:v>17.449664429530202</c:v>
                </c:pt>
                <c:pt idx="149">
                  <c:v>17.333333333333336</c:v>
                </c:pt>
                <c:pt idx="150">
                  <c:v>17.218543046357617</c:v>
                </c:pt>
                <c:pt idx="151">
                  <c:v>17.105263157894736</c:v>
                </c:pt>
                <c:pt idx="152">
                  <c:v>16.993464052287582</c:v>
                </c:pt>
                <c:pt idx="153">
                  <c:v>16.883116883116884</c:v>
                </c:pt>
                <c:pt idx="154">
                  <c:v>16.7741935483871</c:v>
                </c:pt>
                <c:pt idx="155">
                  <c:v>17.307692307692307</c:v>
                </c:pt>
                <c:pt idx="156">
                  <c:v>17.834394904458598</c:v>
                </c:pt>
                <c:pt idx="157">
                  <c:v>17.721518987341771</c:v>
                </c:pt>
                <c:pt idx="158">
                  <c:v>18.238993710691823</c:v>
                </c:pt>
                <c:pt idx="159">
                  <c:v>18.125</c:v>
                </c:pt>
                <c:pt idx="160">
                  <c:v>18.012422360248447</c:v>
                </c:pt>
                <c:pt idx="161">
                  <c:v>18.518518518518519</c:v>
                </c:pt>
                <c:pt idx="162">
                  <c:v>18.404907975460123</c:v>
                </c:pt>
                <c:pt idx="163">
                  <c:v>18.292682926829269</c:v>
                </c:pt>
                <c:pt idx="164">
                  <c:v>18.181818181818183</c:v>
                </c:pt>
                <c:pt idx="165">
                  <c:v>18.072289156626507</c:v>
                </c:pt>
                <c:pt idx="166">
                  <c:v>18.562874251497004</c:v>
                </c:pt>
                <c:pt idx="167">
                  <c:v>18.452380952380953</c:v>
                </c:pt>
                <c:pt idx="168">
                  <c:v>18.34319526627219</c:v>
                </c:pt>
                <c:pt idx="169">
                  <c:v>18.235294117647058</c:v>
                </c:pt>
                <c:pt idx="170">
                  <c:v>18.128654970760234</c:v>
                </c:pt>
                <c:pt idx="171">
                  <c:v>18.604651162790699</c:v>
                </c:pt>
                <c:pt idx="172">
                  <c:v>18.497109826589593</c:v>
                </c:pt>
                <c:pt idx="173">
                  <c:v>18.96551724137931</c:v>
                </c:pt>
                <c:pt idx="174">
                  <c:v>18.857142857142858</c:v>
                </c:pt>
                <c:pt idx="175">
                  <c:v>18.75</c:v>
                </c:pt>
                <c:pt idx="176">
                  <c:v>18.64406779661017</c:v>
                </c:pt>
                <c:pt idx="177">
                  <c:v>19.101123595505616</c:v>
                </c:pt>
                <c:pt idx="178">
                  <c:v>18.994413407821227</c:v>
                </c:pt>
                <c:pt idx="179">
                  <c:v>18.888888888888889</c:v>
                </c:pt>
                <c:pt idx="180">
                  <c:v>18.784530386740332</c:v>
                </c:pt>
                <c:pt idx="181">
                  <c:v>18.681318681318682</c:v>
                </c:pt>
                <c:pt idx="182">
                  <c:v>18.579234972677597</c:v>
                </c:pt>
                <c:pt idx="183">
                  <c:v>18.478260869565215</c:v>
                </c:pt>
                <c:pt idx="184">
                  <c:v>18.378378378378379</c:v>
                </c:pt>
                <c:pt idx="185">
                  <c:v>18.27956989247312</c:v>
                </c:pt>
                <c:pt idx="186">
                  <c:v>18.71657754010695</c:v>
                </c:pt>
                <c:pt idx="187">
                  <c:v>18.617021276595743</c:v>
                </c:pt>
                <c:pt idx="188">
                  <c:v>18.518518518518519</c:v>
                </c:pt>
                <c:pt idx="189">
                  <c:v>18.421052631578945</c:v>
                </c:pt>
                <c:pt idx="190">
                  <c:v>18.32460732984293</c:v>
                </c:pt>
                <c:pt idx="191">
                  <c:v>18.229166666666664</c:v>
                </c:pt>
                <c:pt idx="192">
                  <c:v>18.134715025906736</c:v>
                </c:pt>
                <c:pt idx="193">
                  <c:v>18.041237113402062</c:v>
                </c:pt>
                <c:pt idx="194">
                  <c:v>17.948717948717949</c:v>
                </c:pt>
                <c:pt idx="195">
                  <c:v>17.857142857142858</c:v>
                </c:pt>
                <c:pt idx="196">
                  <c:v>17.766497461928935</c:v>
                </c:pt>
                <c:pt idx="197">
                  <c:v>17.676767676767678</c:v>
                </c:pt>
                <c:pt idx="198">
                  <c:v>17.587939698492463</c:v>
                </c:pt>
                <c:pt idx="199">
                  <c:v>17.5</c:v>
                </c:pt>
                <c:pt idx="200">
                  <c:v>17.412935323383085</c:v>
                </c:pt>
                <c:pt idx="201">
                  <c:v>17.326732673267326</c:v>
                </c:pt>
                <c:pt idx="202">
                  <c:v>17.241379310344829</c:v>
                </c:pt>
                <c:pt idx="203">
                  <c:v>17.156862745098039</c:v>
                </c:pt>
                <c:pt idx="204">
                  <c:v>17.073170731707318</c:v>
                </c:pt>
                <c:pt idx="205">
                  <c:v>16.990291262135923</c:v>
                </c:pt>
                <c:pt idx="206">
                  <c:v>17.391304347826086</c:v>
                </c:pt>
                <c:pt idx="207">
                  <c:v>17.307692307692307</c:v>
                </c:pt>
                <c:pt idx="208">
                  <c:v>17.703349282296653</c:v>
                </c:pt>
                <c:pt idx="209">
                  <c:v>17.61904761904762</c:v>
                </c:pt>
                <c:pt idx="210">
                  <c:v>18.009478672985782</c:v>
                </c:pt>
                <c:pt idx="211">
                  <c:v>17.924528301886792</c:v>
                </c:pt>
                <c:pt idx="212">
                  <c:v>17.84037558685446</c:v>
                </c:pt>
                <c:pt idx="213">
                  <c:v>17.75700934579439</c:v>
                </c:pt>
                <c:pt idx="214">
                  <c:v>17.674418604651162</c:v>
                </c:pt>
                <c:pt idx="215">
                  <c:v>18.055555555555554</c:v>
                </c:pt>
                <c:pt idx="216">
                  <c:v>17.972350230414747</c:v>
                </c:pt>
                <c:pt idx="217">
                  <c:v>17.889908256880734</c:v>
                </c:pt>
                <c:pt idx="218">
                  <c:v>17.80821917808219</c:v>
                </c:pt>
                <c:pt idx="219">
                  <c:v>17.727272727272727</c:v>
                </c:pt>
                <c:pt idx="220">
                  <c:v>17.647058823529413</c:v>
                </c:pt>
                <c:pt idx="221">
                  <c:v>17.567567567567568</c:v>
                </c:pt>
                <c:pt idx="222">
                  <c:v>17.937219730941703</c:v>
                </c:pt>
                <c:pt idx="223">
                  <c:v>17.857142857142858</c:v>
                </c:pt>
                <c:pt idx="224">
                  <c:v>17.777777777777779</c:v>
                </c:pt>
                <c:pt idx="225">
                  <c:v>17.699115044247787</c:v>
                </c:pt>
                <c:pt idx="226">
                  <c:v>17.621145374449341</c:v>
                </c:pt>
                <c:pt idx="227">
                  <c:v>17.982456140350877</c:v>
                </c:pt>
                <c:pt idx="228">
                  <c:v>18.340611353711793</c:v>
                </c:pt>
                <c:pt idx="229">
                  <c:v>18.260869565217391</c:v>
                </c:pt>
                <c:pt idx="230">
                  <c:v>18.181818181818183</c:v>
                </c:pt>
                <c:pt idx="231">
                  <c:v>18.103448275862068</c:v>
                </c:pt>
                <c:pt idx="232">
                  <c:v>18.025751072961373</c:v>
                </c:pt>
                <c:pt idx="233">
                  <c:v>17.948717948717949</c:v>
                </c:pt>
                <c:pt idx="234">
                  <c:v>18.297872340425531</c:v>
                </c:pt>
                <c:pt idx="235">
                  <c:v>18.220338983050848</c:v>
                </c:pt>
                <c:pt idx="236">
                  <c:v>18.143459915611814</c:v>
                </c:pt>
                <c:pt idx="237">
                  <c:v>18.067226890756302</c:v>
                </c:pt>
                <c:pt idx="238">
                  <c:v>17.99163179916318</c:v>
                </c:pt>
                <c:pt idx="239">
                  <c:v>17.916666666666668</c:v>
                </c:pt>
                <c:pt idx="240">
                  <c:v>17.842323651452283</c:v>
                </c:pt>
                <c:pt idx="241">
                  <c:v>17.768595041322314</c:v>
                </c:pt>
                <c:pt idx="242">
                  <c:v>18.106995884773664</c:v>
                </c:pt>
                <c:pt idx="243">
                  <c:v>18.032786885245901</c:v>
                </c:pt>
                <c:pt idx="244">
                  <c:v>17.959183673469386</c:v>
                </c:pt>
                <c:pt idx="245">
                  <c:v>17.886178861788618</c:v>
                </c:pt>
                <c:pt idx="246">
                  <c:v>17.813765182186234</c:v>
                </c:pt>
                <c:pt idx="247">
                  <c:v>17.741935483870968</c:v>
                </c:pt>
                <c:pt idx="248">
                  <c:v>17.670682730923694</c:v>
                </c:pt>
                <c:pt idx="249">
                  <c:v>17.599999999999998</c:v>
                </c:pt>
                <c:pt idx="250">
                  <c:v>17.928286852589643</c:v>
                </c:pt>
                <c:pt idx="251">
                  <c:v>17.857142857142858</c:v>
                </c:pt>
                <c:pt idx="252">
                  <c:v>17.786561264822133</c:v>
                </c:pt>
                <c:pt idx="253">
                  <c:v>17.716535433070867</c:v>
                </c:pt>
                <c:pt idx="254">
                  <c:v>18.03921568627451</c:v>
                </c:pt>
                <c:pt idx="255">
                  <c:v>17.96875</c:v>
                </c:pt>
                <c:pt idx="256">
                  <c:v>17.898832684824903</c:v>
                </c:pt>
                <c:pt idx="257">
                  <c:v>18.217054263565892</c:v>
                </c:pt>
                <c:pt idx="258">
                  <c:v>18.146718146718147</c:v>
                </c:pt>
                <c:pt idx="259">
                  <c:v>18.076923076923077</c:v>
                </c:pt>
                <c:pt idx="260">
                  <c:v>18.007662835249043</c:v>
                </c:pt>
                <c:pt idx="261">
                  <c:v>17.938931297709924</c:v>
                </c:pt>
                <c:pt idx="262">
                  <c:v>18.250950570342205</c:v>
                </c:pt>
                <c:pt idx="263">
                  <c:v>18.181818181818183</c:v>
                </c:pt>
                <c:pt idx="264">
                  <c:v>18.490566037735849</c:v>
                </c:pt>
                <c:pt idx="265">
                  <c:v>18.421052631578945</c:v>
                </c:pt>
                <c:pt idx="266">
                  <c:v>18.352059925093634</c:v>
                </c:pt>
                <c:pt idx="267">
                  <c:v>18.28358208955224</c:v>
                </c:pt>
                <c:pt idx="268">
                  <c:v>18.21561338289963</c:v>
                </c:pt>
                <c:pt idx="269">
                  <c:v>18.148148148148149</c:v>
                </c:pt>
                <c:pt idx="270">
                  <c:v>18.081180811808117</c:v>
                </c:pt>
                <c:pt idx="271">
                  <c:v>18.014705882352942</c:v>
                </c:pt>
                <c:pt idx="272">
                  <c:v>17.948717948717949</c:v>
                </c:pt>
                <c:pt idx="273">
                  <c:v>17.883211678832119</c:v>
                </c:pt>
                <c:pt idx="274">
                  <c:v>17.81818181818182</c:v>
                </c:pt>
                <c:pt idx="275">
                  <c:v>17.753623188405797</c:v>
                </c:pt>
                <c:pt idx="276">
                  <c:v>17.689530685920577</c:v>
                </c:pt>
                <c:pt idx="277">
                  <c:v>17.625899280575538</c:v>
                </c:pt>
                <c:pt idx="278">
                  <c:v>17.562724014336915</c:v>
                </c:pt>
                <c:pt idx="279">
                  <c:v>17.5</c:v>
                </c:pt>
                <c:pt idx="280">
                  <c:v>17.437722419928825</c:v>
                </c:pt>
                <c:pt idx="281">
                  <c:v>17.375886524822697</c:v>
                </c:pt>
                <c:pt idx="282">
                  <c:v>17.314487632508836</c:v>
                </c:pt>
                <c:pt idx="283">
                  <c:v>17.253521126760564</c:v>
                </c:pt>
                <c:pt idx="284">
                  <c:v>17.192982456140353</c:v>
                </c:pt>
                <c:pt idx="285">
                  <c:v>17.132867132867133</c:v>
                </c:pt>
                <c:pt idx="286">
                  <c:v>17.073170731707318</c:v>
                </c:pt>
                <c:pt idx="287">
                  <c:v>17.013888888888889</c:v>
                </c:pt>
                <c:pt idx="288">
                  <c:v>16.955017301038062</c:v>
                </c:pt>
                <c:pt idx="289">
                  <c:v>16.896551724137932</c:v>
                </c:pt>
                <c:pt idx="290">
                  <c:v>16.838487972508592</c:v>
                </c:pt>
                <c:pt idx="291">
                  <c:v>16.780821917808218</c:v>
                </c:pt>
                <c:pt idx="292">
                  <c:v>16.723549488054605</c:v>
                </c:pt>
                <c:pt idx="293">
                  <c:v>16.666666666666664</c:v>
                </c:pt>
                <c:pt idx="294">
                  <c:v>16.610169491525422</c:v>
                </c:pt>
                <c:pt idx="295">
                  <c:v>16.554054054054053</c:v>
                </c:pt>
                <c:pt idx="296">
                  <c:v>16.835016835016837</c:v>
                </c:pt>
                <c:pt idx="297">
                  <c:v>16.778523489932887</c:v>
                </c:pt>
                <c:pt idx="298">
                  <c:v>17.056856187290968</c:v>
                </c:pt>
                <c:pt idx="299">
                  <c:v>17.333333333333336</c:v>
                </c:pt>
                <c:pt idx="300">
                  <c:v>17.607973421926911</c:v>
                </c:pt>
                <c:pt idx="301">
                  <c:v>17.549668874172188</c:v>
                </c:pt>
                <c:pt idx="302">
                  <c:v>17.491749174917494</c:v>
                </c:pt>
                <c:pt idx="303">
                  <c:v>17.434210526315788</c:v>
                </c:pt>
                <c:pt idx="304">
                  <c:v>17.377049180327869</c:v>
                </c:pt>
                <c:pt idx="305">
                  <c:v>17.320261437908496</c:v>
                </c:pt>
                <c:pt idx="306">
                  <c:v>17.263843648208468</c:v>
                </c:pt>
                <c:pt idx="307">
                  <c:v>17.20779220779221</c:v>
                </c:pt>
                <c:pt idx="308">
                  <c:v>17.475728155339805</c:v>
                </c:pt>
                <c:pt idx="309">
                  <c:v>17.419354838709676</c:v>
                </c:pt>
                <c:pt idx="310">
                  <c:v>17.363344051446948</c:v>
                </c:pt>
                <c:pt idx="311">
                  <c:v>17.307692307692307</c:v>
                </c:pt>
                <c:pt idx="312">
                  <c:v>17.252396166134183</c:v>
                </c:pt>
                <c:pt idx="313">
                  <c:v>17.197452229299362</c:v>
                </c:pt>
                <c:pt idx="314">
                  <c:v>17.142857142857142</c:v>
                </c:pt>
                <c:pt idx="315">
                  <c:v>17.405063291139243</c:v>
                </c:pt>
                <c:pt idx="316">
                  <c:v>17.350157728706623</c:v>
                </c:pt>
                <c:pt idx="317">
                  <c:v>17.29559748427673</c:v>
                </c:pt>
                <c:pt idx="318">
                  <c:v>17.241379310344829</c:v>
                </c:pt>
                <c:pt idx="319">
                  <c:v>17.1875</c:v>
                </c:pt>
                <c:pt idx="320">
                  <c:v>17.133956386292834</c:v>
                </c:pt>
                <c:pt idx="321">
                  <c:v>17.080745341614907</c:v>
                </c:pt>
                <c:pt idx="322">
                  <c:v>17.027863777089784</c:v>
                </c:pt>
                <c:pt idx="323">
                  <c:v>16.97530864197531</c:v>
                </c:pt>
                <c:pt idx="324">
                  <c:v>16.923076923076923</c:v>
                </c:pt>
                <c:pt idx="325">
                  <c:v>16.871165644171779</c:v>
                </c:pt>
                <c:pt idx="326">
                  <c:v>17.12538226299694</c:v>
                </c:pt>
                <c:pt idx="327">
                  <c:v>17.073170731707318</c:v>
                </c:pt>
                <c:pt idx="328">
                  <c:v>17.325227963525837</c:v>
                </c:pt>
                <c:pt idx="329">
                  <c:v>17.272727272727273</c:v>
                </c:pt>
                <c:pt idx="330">
                  <c:v>17.220543806646525</c:v>
                </c:pt>
                <c:pt idx="331">
                  <c:v>17.168674698795179</c:v>
                </c:pt>
                <c:pt idx="332">
                  <c:v>17.117117117117118</c:v>
                </c:pt>
                <c:pt idx="333">
                  <c:v>17.365269461077844</c:v>
                </c:pt>
                <c:pt idx="334">
                  <c:v>17.313432835820898</c:v>
                </c:pt>
                <c:pt idx="335">
                  <c:v>17.261904761904763</c:v>
                </c:pt>
                <c:pt idx="336">
                  <c:v>17.507418397626111</c:v>
                </c:pt>
                <c:pt idx="337">
                  <c:v>17.45562130177515</c:v>
                </c:pt>
                <c:pt idx="338">
                  <c:v>17.404129793510325</c:v>
                </c:pt>
                <c:pt idx="339">
                  <c:v>17.352941176470587</c:v>
                </c:pt>
                <c:pt idx="340">
                  <c:v>17.302052785923756</c:v>
                </c:pt>
                <c:pt idx="341">
                  <c:v>17.251461988304094</c:v>
                </c:pt>
                <c:pt idx="342">
                  <c:v>17.201166180758019</c:v>
                </c:pt>
                <c:pt idx="343">
                  <c:v>17.151162790697676</c:v>
                </c:pt>
                <c:pt idx="344">
                  <c:v>17.101449275362317</c:v>
                </c:pt>
                <c:pt idx="345">
                  <c:v>17.052023121387283</c:v>
                </c:pt>
                <c:pt idx="346">
                  <c:v>17.002881844380404</c:v>
                </c:pt>
                <c:pt idx="347">
                  <c:v>16.954022988505745</c:v>
                </c:pt>
                <c:pt idx="348">
                  <c:v>16.905444126074499</c:v>
                </c:pt>
                <c:pt idx="349">
                  <c:v>16.857142857142858</c:v>
                </c:pt>
                <c:pt idx="350">
                  <c:v>16.809116809116809</c:v>
                </c:pt>
                <c:pt idx="351">
                  <c:v>16.761363636363637</c:v>
                </c:pt>
                <c:pt idx="352">
                  <c:v>16.71388101983003</c:v>
                </c:pt>
                <c:pt idx="353">
                  <c:v>16.666666666666664</c:v>
                </c:pt>
                <c:pt idx="354">
                  <c:v>16.619718309859156</c:v>
                </c:pt>
                <c:pt idx="355">
                  <c:v>16.573033707865168</c:v>
                </c:pt>
                <c:pt idx="356">
                  <c:v>16.526610644257701</c:v>
                </c:pt>
                <c:pt idx="357">
                  <c:v>16.759776536312849</c:v>
                </c:pt>
                <c:pt idx="358">
                  <c:v>16.713091922005571</c:v>
                </c:pt>
                <c:pt idx="359">
                  <c:v>16.666666666666664</c:v>
                </c:pt>
                <c:pt idx="360">
                  <c:v>16.62049861495845</c:v>
                </c:pt>
                <c:pt idx="361">
                  <c:v>16.850828729281769</c:v>
                </c:pt>
                <c:pt idx="362">
                  <c:v>16.804407713498623</c:v>
                </c:pt>
                <c:pt idx="363">
                  <c:v>16.758241758241756</c:v>
                </c:pt>
                <c:pt idx="364">
                  <c:v>16.712328767123289</c:v>
                </c:pt>
                <c:pt idx="365">
                  <c:v>16.666666666666664</c:v>
                </c:pt>
                <c:pt idx="366">
                  <c:v>16.621253405994551</c:v>
                </c:pt>
                <c:pt idx="367">
                  <c:v>16.847826086956523</c:v>
                </c:pt>
                <c:pt idx="368">
                  <c:v>16.802168021680217</c:v>
                </c:pt>
                <c:pt idx="369">
                  <c:v>16.756756756756758</c:v>
                </c:pt>
                <c:pt idx="370">
                  <c:v>16.711590296495956</c:v>
                </c:pt>
                <c:pt idx="371">
                  <c:v>16.666666666666664</c:v>
                </c:pt>
                <c:pt idx="372">
                  <c:v>16.621983914209114</c:v>
                </c:pt>
                <c:pt idx="373">
                  <c:v>16.577540106951872</c:v>
                </c:pt>
                <c:pt idx="374">
                  <c:v>16.533333333333331</c:v>
                </c:pt>
                <c:pt idx="375">
                  <c:v>16.48936170212766</c:v>
                </c:pt>
                <c:pt idx="376">
                  <c:v>16.445623342175068</c:v>
                </c:pt>
                <c:pt idx="377">
                  <c:v>16.666666666666664</c:v>
                </c:pt>
                <c:pt idx="378">
                  <c:v>16.622691292875992</c:v>
                </c:pt>
                <c:pt idx="379">
                  <c:v>16.578947368421051</c:v>
                </c:pt>
                <c:pt idx="380">
                  <c:v>16.535433070866144</c:v>
                </c:pt>
                <c:pt idx="381">
                  <c:v>16.492146596858639</c:v>
                </c:pt>
                <c:pt idx="382">
                  <c:v>16.449086161879894</c:v>
                </c:pt>
                <c:pt idx="383">
                  <c:v>16.40625</c:v>
                </c:pt>
                <c:pt idx="384">
                  <c:v>16.363636363636363</c:v>
                </c:pt>
                <c:pt idx="385">
                  <c:v>16.580310880829018</c:v>
                </c:pt>
                <c:pt idx="386">
                  <c:v>16.5374677002584</c:v>
                </c:pt>
                <c:pt idx="387">
                  <c:v>16.494845360824741</c:v>
                </c:pt>
                <c:pt idx="388">
                  <c:v>16.452442159383033</c:v>
                </c:pt>
                <c:pt idx="389">
                  <c:v>16.666666666666664</c:v>
                </c:pt>
                <c:pt idx="390">
                  <c:v>16.879795396419436</c:v>
                </c:pt>
                <c:pt idx="391">
                  <c:v>17.091836734693878</c:v>
                </c:pt>
                <c:pt idx="392">
                  <c:v>17.302798982188293</c:v>
                </c:pt>
                <c:pt idx="393">
                  <c:v>17.258883248730964</c:v>
                </c:pt>
                <c:pt idx="394">
                  <c:v>17.215189873417721</c:v>
                </c:pt>
                <c:pt idx="395">
                  <c:v>17.171717171717169</c:v>
                </c:pt>
                <c:pt idx="396">
                  <c:v>17.128463476070529</c:v>
                </c:pt>
                <c:pt idx="397">
                  <c:v>17.08542713567839</c:v>
                </c:pt>
                <c:pt idx="398">
                  <c:v>17.042606516290725</c:v>
                </c:pt>
                <c:pt idx="399">
                  <c:v>17</c:v>
                </c:pt>
                <c:pt idx="400">
                  <c:v>16.957605985037407</c:v>
                </c:pt>
                <c:pt idx="401">
                  <c:v>16.915422885572141</c:v>
                </c:pt>
                <c:pt idx="402">
                  <c:v>16.873449131513649</c:v>
                </c:pt>
                <c:pt idx="403">
                  <c:v>17.079207920792079</c:v>
                </c:pt>
                <c:pt idx="404">
                  <c:v>17.037037037037038</c:v>
                </c:pt>
                <c:pt idx="405">
                  <c:v>16.995073891625616</c:v>
                </c:pt>
                <c:pt idx="406">
                  <c:v>16.953316953316953</c:v>
                </c:pt>
                <c:pt idx="407">
                  <c:v>16.911764705882355</c:v>
                </c:pt>
                <c:pt idx="408">
                  <c:v>16.87041564792176</c:v>
                </c:pt>
                <c:pt idx="409">
                  <c:v>16.829268292682929</c:v>
                </c:pt>
                <c:pt idx="410">
                  <c:v>17.031630170316301</c:v>
                </c:pt>
                <c:pt idx="411">
                  <c:v>16.990291262135923</c:v>
                </c:pt>
                <c:pt idx="412">
                  <c:v>17.191283292978206</c:v>
                </c:pt>
                <c:pt idx="413">
                  <c:v>17.14975845410628</c:v>
                </c:pt>
                <c:pt idx="414">
                  <c:v>17.108433734939759</c:v>
                </c:pt>
                <c:pt idx="415">
                  <c:v>17.307692307692307</c:v>
                </c:pt>
                <c:pt idx="416">
                  <c:v>17.266187050359711</c:v>
                </c:pt>
                <c:pt idx="417">
                  <c:v>17.224880382775119</c:v>
                </c:pt>
                <c:pt idx="418">
                  <c:v>17.183770883054891</c:v>
                </c:pt>
                <c:pt idx="419">
                  <c:v>17.142857142857142</c:v>
                </c:pt>
                <c:pt idx="420">
                  <c:v>17.102137767220903</c:v>
                </c:pt>
                <c:pt idx="421">
                  <c:v>17.061611374407583</c:v>
                </c:pt>
                <c:pt idx="422">
                  <c:v>17.021276595744681</c:v>
                </c:pt>
                <c:pt idx="423">
                  <c:v>16.981132075471699</c:v>
                </c:pt>
                <c:pt idx="424">
                  <c:v>16.941176470588236</c:v>
                </c:pt>
                <c:pt idx="425">
                  <c:v>16.901408450704224</c:v>
                </c:pt>
                <c:pt idx="426">
                  <c:v>16.861826697892273</c:v>
                </c:pt>
                <c:pt idx="427">
                  <c:v>16.822429906542055</c:v>
                </c:pt>
                <c:pt idx="428">
                  <c:v>16.783216783216783</c:v>
                </c:pt>
                <c:pt idx="429">
                  <c:v>16.744186046511629</c:v>
                </c:pt>
                <c:pt idx="430">
                  <c:v>16.705336426914151</c:v>
                </c:pt>
                <c:pt idx="431">
                  <c:v>16.666666666666664</c:v>
                </c:pt>
                <c:pt idx="432">
                  <c:v>16.628175519630485</c:v>
                </c:pt>
                <c:pt idx="433">
                  <c:v>16.589861751152075</c:v>
                </c:pt>
                <c:pt idx="434">
                  <c:v>16.551724137931036</c:v>
                </c:pt>
                <c:pt idx="435">
                  <c:v>16.513761467889911</c:v>
                </c:pt>
                <c:pt idx="436">
                  <c:v>16.475972540045767</c:v>
                </c:pt>
                <c:pt idx="437">
                  <c:v>16.43835616438356</c:v>
                </c:pt>
                <c:pt idx="438">
                  <c:v>16.400911161731209</c:v>
                </c:pt>
                <c:pt idx="439">
                  <c:v>16.363636363636363</c:v>
                </c:pt>
                <c:pt idx="440">
                  <c:v>16.326530612244898</c:v>
                </c:pt>
                <c:pt idx="441">
                  <c:v>16.289592760180994</c:v>
                </c:pt>
                <c:pt idx="442">
                  <c:v>16.478555304740404</c:v>
                </c:pt>
                <c:pt idx="443">
                  <c:v>16.441441441441444</c:v>
                </c:pt>
                <c:pt idx="444">
                  <c:v>16.40449438202247</c:v>
                </c:pt>
                <c:pt idx="445">
                  <c:v>16.367713004484305</c:v>
                </c:pt>
                <c:pt idx="446">
                  <c:v>16.331096196868007</c:v>
                </c:pt>
                <c:pt idx="447">
                  <c:v>16.517857142857142</c:v>
                </c:pt>
                <c:pt idx="448">
                  <c:v>16.481069042316257</c:v>
                </c:pt>
                <c:pt idx="449">
                  <c:v>16.444444444444446</c:v>
                </c:pt>
                <c:pt idx="450">
                  <c:v>16.4079822616408</c:v>
                </c:pt>
                <c:pt idx="451">
                  <c:v>16.371681415929203</c:v>
                </c:pt>
                <c:pt idx="452">
                  <c:v>16.556291390728479</c:v>
                </c:pt>
                <c:pt idx="453">
                  <c:v>16.740088105726873</c:v>
                </c:pt>
                <c:pt idx="454">
                  <c:v>16.703296703296701</c:v>
                </c:pt>
                <c:pt idx="455">
                  <c:v>16.885964912280702</c:v>
                </c:pt>
                <c:pt idx="456">
                  <c:v>16.849015317286653</c:v>
                </c:pt>
                <c:pt idx="457">
                  <c:v>16.812227074235807</c:v>
                </c:pt>
                <c:pt idx="458">
                  <c:v>16.775599128540307</c:v>
                </c:pt>
                <c:pt idx="459">
                  <c:v>16.739130434782609</c:v>
                </c:pt>
                <c:pt idx="460">
                  <c:v>16.702819956616054</c:v>
                </c:pt>
                <c:pt idx="461">
                  <c:v>16.666666666666664</c:v>
                </c:pt>
                <c:pt idx="462">
                  <c:v>16.630669546436287</c:v>
                </c:pt>
                <c:pt idx="463">
                  <c:v>16.594827586206897</c:v>
                </c:pt>
                <c:pt idx="464">
                  <c:v>16.7741935483871</c:v>
                </c:pt>
                <c:pt idx="465">
                  <c:v>16.738197424892704</c:v>
                </c:pt>
                <c:pt idx="466">
                  <c:v>16.916488222698074</c:v>
                </c:pt>
                <c:pt idx="467">
                  <c:v>16.880341880341881</c:v>
                </c:pt>
                <c:pt idx="468">
                  <c:v>16.844349680170577</c:v>
                </c:pt>
                <c:pt idx="469">
                  <c:v>16.808510638297872</c:v>
                </c:pt>
                <c:pt idx="470">
                  <c:v>16.772823779193207</c:v>
                </c:pt>
                <c:pt idx="471">
                  <c:v>16.949152542372879</c:v>
                </c:pt>
                <c:pt idx="472">
                  <c:v>16.913319238900634</c:v>
                </c:pt>
                <c:pt idx="473">
                  <c:v>16.877637130801688</c:v>
                </c:pt>
                <c:pt idx="474">
                  <c:v>16.842105263157894</c:v>
                </c:pt>
                <c:pt idx="475">
                  <c:v>16.806722689075631</c:v>
                </c:pt>
                <c:pt idx="476">
                  <c:v>16.771488469601678</c:v>
                </c:pt>
                <c:pt idx="477">
                  <c:v>16.736401673640167</c:v>
                </c:pt>
                <c:pt idx="478">
                  <c:v>16.701461377870565</c:v>
                </c:pt>
                <c:pt idx="479">
                  <c:v>16.666666666666664</c:v>
                </c:pt>
                <c:pt idx="480">
                  <c:v>16.632016632016633</c:v>
                </c:pt>
                <c:pt idx="481">
                  <c:v>16.597510373443981</c:v>
                </c:pt>
                <c:pt idx="482">
                  <c:v>16.563146997929607</c:v>
                </c:pt>
                <c:pt idx="483">
                  <c:v>16.735537190082646</c:v>
                </c:pt>
                <c:pt idx="484">
                  <c:v>16.701030927835049</c:v>
                </c:pt>
                <c:pt idx="485">
                  <c:v>16.872427983539097</c:v>
                </c:pt>
                <c:pt idx="486">
                  <c:v>16.837782340862422</c:v>
                </c:pt>
                <c:pt idx="487">
                  <c:v>16.803278688524589</c:v>
                </c:pt>
                <c:pt idx="488">
                  <c:v>16.973415132924334</c:v>
                </c:pt>
                <c:pt idx="489">
                  <c:v>16.938775510204081</c:v>
                </c:pt>
                <c:pt idx="490">
                  <c:v>17.107942973523421</c:v>
                </c:pt>
                <c:pt idx="491">
                  <c:v>17.073170731707318</c:v>
                </c:pt>
                <c:pt idx="492">
                  <c:v>17.038539553752535</c:v>
                </c:pt>
                <c:pt idx="493">
                  <c:v>17.20647773279352</c:v>
                </c:pt>
                <c:pt idx="494">
                  <c:v>17.171717171717169</c:v>
                </c:pt>
                <c:pt idx="495">
                  <c:v>17.137096774193548</c:v>
                </c:pt>
                <c:pt idx="496">
                  <c:v>17.303822937625753</c:v>
                </c:pt>
                <c:pt idx="497">
                  <c:v>17.269076305220885</c:v>
                </c:pt>
                <c:pt idx="498">
                  <c:v>17.234468937875754</c:v>
                </c:pt>
                <c:pt idx="499">
                  <c:v>17.2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C3-4541-AA38-C79BD77F84B4}"/>
            </c:ext>
          </c:extLst>
        </c:ser>
        <c:ser>
          <c:idx val="3"/>
          <c:order val="3"/>
          <c:tx>
            <c:strRef>
              <c:f>Dice!$L$1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Dice!$L$2:$L$501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33.333333333333329</c:v>
                </c:pt>
                <c:pt idx="6">
                  <c:v>28.571428571428569</c:v>
                </c:pt>
                <c:pt idx="7">
                  <c:v>25</c:v>
                </c:pt>
                <c:pt idx="8">
                  <c:v>22.222222222222221</c:v>
                </c:pt>
                <c:pt idx="9">
                  <c:v>20</c:v>
                </c:pt>
                <c:pt idx="10">
                  <c:v>18.181818181818183</c:v>
                </c:pt>
                <c:pt idx="11">
                  <c:v>16.666666666666664</c:v>
                </c:pt>
                <c:pt idx="12">
                  <c:v>23.076923076923077</c:v>
                </c:pt>
                <c:pt idx="13">
                  <c:v>21.428571428571427</c:v>
                </c:pt>
                <c:pt idx="14">
                  <c:v>26.666666666666668</c:v>
                </c:pt>
                <c:pt idx="15">
                  <c:v>31.25</c:v>
                </c:pt>
                <c:pt idx="16">
                  <c:v>29.411764705882355</c:v>
                </c:pt>
                <c:pt idx="17">
                  <c:v>27.777777777777779</c:v>
                </c:pt>
                <c:pt idx="18">
                  <c:v>26.315789473684209</c:v>
                </c:pt>
                <c:pt idx="19">
                  <c:v>25</c:v>
                </c:pt>
                <c:pt idx="20">
                  <c:v>23.809523809523807</c:v>
                </c:pt>
                <c:pt idx="21">
                  <c:v>22.727272727272727</c:v>
                </c:pt>
                <c:pt idx="22">
                  <c:v>26.086956521739129</c:v>
                </c:pt>
                <c:pt idx="23">
                  <c:v>25</c:v>
                </c:pt>
                <c:pt idx="24">
                  <c:v>24</c:v>
                </c:pt>
                <c:pt idx="25">
                  <c:v>23.076923076923077</c:v>
                </c:pt>
                <c:pt idx="26">
                  <c:v>22.222222222222221</c:v>
                </c:pt>
                <c:pt idx="27">
                  <c:v>21.428571428571427</c:v>
                </c:pt>
                <c:pt idx="28">
                  <c:v>20.689655172413794</c:v>
                </c:pt>
                <c:pt idx="29">
                  <c:v>20</c:v>
                </c:pt>
                <c:pt idx="30">
                  <c:v>19.35483870967742</c:v>
                </c:pt>
                <c:pt idx="31">
                  <c:v>18.75</c:v>
                </c:pt>
                <c:pt idx="32">
                  <c:v>18.181818181818183</c:v>
                </c:pt>
                <c:pt idx="33">
                  <c:v>20.588235294117645</c:v>
                </c:pt>
                <c:pt idx="34">
                  <c:v>20</c:v>
                </c:pt>
                <c:pt idx="35">
                  <c:v>19.444444444444446</c:v>
                </c:pt>
                <c:pt idx="36">
                  <c:v>18.918918918918919</c:v>
                </c:pt>
                <c:pt idx="37">
                  <c:v>18.421052631578945</c:v>
                </c:pt>
                <c:pt idx="38">
                  <c:v>17.948717948717949</c:v>
                </c:pt>
                <c:pt idx="39">
                  <c:v>17.5</c:v>
                </c:pt>
                <c:pt idx="40">
                  <c:v>17.073170731707318</c:v>
                </c:pt>
                <c:pt idx="41">
                  <c:v>16.666666666666664</c:v>
                </c:pt>
                <c:pt idx="42">
                  <c:v>18.604651162790699</c:v>
                </c:pt>
                <c:pt idx="43">
                  <c:v>20.454545454545457</c:v>
                </c:pt>
                <c:pt idx="44">
                  <c:v>20</c:v>
                </c:pt>
                <c:pt idx="45">
                  <c:v>19.565217391304348</c:v>
                </c:pt>
                <c:pt idx="46">
                  <c:v>19.148936170212767</c:v>
                </c:pt>
                <c:pt idx="47">
                  <c:v>18.75</c:v>
                </c:pt>
                <c:pt idx="48">
                  <c:v>20.408163265306122</c:v>
                </c:pt>
                <c:pt idx="49">
                  <c:v>20</c:v>
                </c:pt>
                <c:pt idx="50">
                  <c:v>19.607843137254903</c:v>
                </c:pt>
                <c:pt idx="51">
                  <c:v>19.230769230769234</c:v>
                </c:pt>
                <c:pt idx="52">
                  <c:v>20.754716981132077</c:v>
                </c:pt>
                <c:pt idx="53">
                  <c:v>20.37037037037037</c:v>
                </c:pt>
                <c:pt idx="54">
                  <c:v>20</c:v>
                </c:pt>
                <c:pt idx="55">
                  <c:v>19.642857142857142</c:v>
                </c:pt>
                <c:pt idx="56">
                  <c:v>19.298245614035086</c:v>
                </c:pt>
                <c:pt idx="57">
                  <c:v>18.96551724137931</c:v>
                </c:pt>
                <c:pt idx="58">
                  <c:v>18.64406779661017</c:v>
                </c:pt>
                <c:pt idx="59">
                  <c:v>18.333333333333332</c:v>
                </c:pt>
                <c:pt idx="60">
                  <c:v>18.032786885245901</c:v>
                </c:pt>
                <c:pt idx="61">
                  <c:v>17.741935483870968</c:v>
                </c:pt>
                <c:pt idx="62">
                  <c:v>17.460317460317459</c:v>
                </c:pt>
                <c:pt idx="63">
                  <c:v>17.1875</c:v>
                </c:pt>
                <c:pt idx="64">
                  <c:v>18.461538461538463</c:v>
                </c:pt>
                <c:pt idx="65">
                  <c:v>18.181818181818183</c:v>
                </c:pt>
                <c:pt idx="66">
                  <c:v>17.910447761194028</c:v>
                </c:pt>
                <c:pt idx="67">
                  <c:v>17.647058823529413</c:v>
                </c:pt>
                <c:pt idx="68">
                  <c:v>17.391304347826086</c:v>
                </c:pt>
                <c:pt idx="69">
                  <c:v>18.571428571428573</c:v>
                </c:pt>
                <c:pt idx="70">
                  <c:v>19.718309859154928</c:v>
                </c:pt>
                <c:pt idx="71">
                  <c:v>19.444444444444446</c:v>
                </c:pt>
                <c:pt idx="72">
                  <c:v>20.547945205479451</c:v>
                </c:pt>
                <c:pt idx="73">
                  <c:v>20.27027027027027</c:v>
                </c:pt>
                <c:pt idx="74">
                  <c:v>20</c:v>
                </c:pt>
                <c:pt idx="75">
                  <c:v>21.052631578947366</c:v>
                </c:pt>
                <c:pt idx="76">
                  <c:v>20.779220779220779</c:v>
                </c:pt>
                <c:pt idx="77">
                  <c:v>20.512820512820511</c:v>
                </c:pt>
                <c:pt idx="78">
                  <c:v>20.253164556962027</c:v>
                </c:pt>
                <c:pt idx="79">
                  <c:v>20</c:v>
                </c:pt>
                <c:pt idx="80">
                  <c:v>19.753086419753085</c:v>
                </c:pt>
                <c:pt idx="81">
                  <c:v>19.512195121951219</c:v>
                </c:pt>
                <c:pt idx="82">
                  <c:v>19.277108433734941</c:v>
                </c:pt>
                <c:pt idx="83">
                  <c:v>19.047619047619047</c:v>
                </c:pt>
                <c:pt idx="84">
                  <c:v>18.823529411764707</c:v>
                </c:pt>
                <c:pt idx="85">
                  <c:v>18.604651162790699</c:v>
                </c:pt>
                <c:pt idx="86">
                  <c:v>18.390804597701148</c:v>
                </c:pt>
                <c:pt idx="87">
                  <c:v>19.318181818181817</c:v>
                </c:pt>
                <c:pt idx="88">
                  <c:v>19.101123595505616</c:v>
                </c:pt>
                <c:pt idx="89">
                  <c:v>18.888888888888889</c:v>
                </c:pt>
                <c:pt idx="90">
                  <c:v>18.681318681318682</c:v>
                </c:pt>
                <c:pt idx="91">
                  <c:v>18.478260869565215</c:v>
                </c:pt>
                <c:pt idx="92">
                  <c:v>18.27956989247312</c:v>
                </c:pt>
                <c:pt idx="93">
                  <c:v>18.085106382978726</c:v>
                </c:pt>
                <c:pt idx="94">
                  <c:v>17.894736842105264</c:v>
                </c:pt>
                <c:pt idx="95">
                  <c:v>18.75</c:v>
                </c:pt>
                <c:pt idx="96">
                  <c:v>18.556701030927837</c:v>
                </c:pt>
                <c:pt idx="97">
                  <c:v>19.387755102040817</c:v>
                </c:pt>
                <c:pt idx="98">
                  <c:v>19.19191919191919</c:v>
                </c:pt>
                <c:pt idx="99">
                  <c:v>19</c:v>
                </c:pt>
                <c:pt idx="100">
                  <c:v>18.811881188118811</c:v>
                </c:pt>
                <c:pt idx="101">
                  <c:v>18.627450980392158</c:v>
                </c:pt>
                <c:pt idx="102">
                  <c:v>19.417475728155338</c:v>
                </c:pt>
                <c:pt idx="103">
                  <c:v>19.230769230769234</c:v>
                </c:pt>
                <c:pt idx="104">
                  <c:v>19.047619047619047</c:v>
                </c:pt>
                <c:pt idx="105">
                  <c:v>18.867924528301888</c:v>
                </c:pt>
                <c:pt idx="106">
                  <c:v>18.691588785046729</c:v>
                </c:pt>
                <c:pt idx="107">
                  <c:v>18.518518518518519</c:v>
                </c:pt>
                <c:pt idx="108">
                  <c:v>18.348623853211009</c:v>
                </c:pt>
                <c:pt idx="109">
                  <c:v>18.181818181818183</c:v>
                </c:pt>
                <c:pt idx="110">
                  <c:v>18.018018018018019</c:v>
                </c:pt>
                <c:pt idx="111">
                  <c:v>17.857142857142858</c:v>
                </c:pt>
                <c:pt idx="112">
                  <c:v>17.699115044247787</c:v>
                </c:pt>
                <c:pt idx="113">
                  <c:v>17.543859649122805</c:v>
                </c:pt>
                <c:pt idx="114">
                  <c:v>17.391304347826086</c:v>
                </c:pt>
                <c:pt idx="115">
                  <c:v>17.241379310344829</c:v>
                </c:pt>
                <c:pt idx="116">
                  <c:v>17.094017094017094</c:v>
                </c:pt>
                <c:pt idx="117">
                  <c:v>16.949152542372879</c:v>
                </c:pt>
                <c:pt idx="118">
                  <c:v>16.806722689075631</c:v>
                </c:pt>
                <c:pt idx="119">
                  <c:v>16.666666666666664</c:v>
                </c:pt>
                <c:pt idx="120">
                  <c:v>16.528925619834713</c:v>
                </c:pt>
                <c:pt idx="121">
                  <c:v>16.393442622950818</c:v>
                </c:pt>
                <c:pt idx="122">
                  <c:v>16.260162601626014</c:v>
                </c:pt>
                <c:pt idx="123">
                  <c:v>16.129032258064516</c:v>
                </c:pt>
                <c:pt idx="124">
                  <c:v>16.8</c:v>
                </c:pt>
                <c:pt idx="125">
                  <c:v>16.666666666666664</c:v>
                </c:pt>
                <c:pt idx="126">
                  <c:v>16.535433070866144</c:v>
                </c:pt>
                <c:pt idx="127">
                  <c:v>16.40625</c:v>
                </c:pt>
                <c:pt idx="128">
                  <c:v>17.054263565891471</c:v>
                </c:pt>
                <c:pt idx="129">
                  <c:v>16.923076923076923</c:v>
                </c:pt>
                <c:pt idx="130">
                  <c:v>17.557251908396946</c:v>
                </c:pt>
                <c:pt idx="131">
                  <c:v>17.424242424242426</c:v>
                </c:pt>
                <c:pt idx="132">
                  <c:v>17.293233082706767</c:v>
                </c:pt>
                <c:pt idx="133">
                  <c:v>17.910447761194028</c:v>
                </c:pt>
                <c:pt idx="134">
                  <c:v>17.777777777777779</c:v>
                </c:pt>
                <c:pt idx="135">
                  <c:v>17.647058823529413</c:v>
                </c:pt>
                <c:pt idx="136">
                  <c:v>17.518248175182482</c:v>
                </c:pt>
                <c:pt idx="137">
                  <c:v>17.391304347826086</c:v>
                </c:pt>
                <c:pt idx="138">
                  <c:v>17.266187050359711</c:v>
                </c:pt>
                <c:pt idx="139">
                  <c:v>17.142857142857142</c:v>
                </c:pt>
                <c:pt idx="140">
                  <c:v>17.021276595744681</c:v>
                </c:pt>
                <c:pt idx="141">
                  <c:v>16.901408450704224</c:v>
                </c:pt>
                <c:pt idx="142">
                  <c:v>16.783216783216783</c:v>
                </c:pt>
                <c:pt idx="143">
                  <c:v>16.666666666666664</c:v>
                </c:pt>
                <c:pt idx="144">
                  <c:v>16.551724137931036</c:v>
                </c:pt>
                <c:pt idx="145">
                  <c:v>16.43835616438356</c:v>
                </c:pt>
                <c:pt idx="146">
                  <c:v>16.326530612244898</c:v>
                </c:pt>
                <c:pt idx="147">
                  <c:v>16.216216216216218</c:v>
                </c:pt>
                <c:pt idx="148">
                  <c:v>16.107382550335569</c:v>
                </c:pt>
                <c:pt idx="149">
                  <c:v>16</c:v>
                </c:pt>
                <c:pt idx="150">
                  <c:v>16.556291390728479</c:v>
                </c:pt>
                <c:pt idx="151">
                  <c:v>16.447368421052634</c:v>
                </c:pt>
                <c:pt idx="152">
                  <c:v>16.33986928104575</c:v>
                </c:pt>
                <c:pt idx="153">
                  <c:v>16.233766233766232</c:v>
                </c:pt>
                <c:pt idx="154">
                  <c:v>16.129032258064516</c:v>
                </c:pt>
                <c:pt idx="155">
                  <c:v>16.025641025641026</c:v>
                </c:pt>
                <c:pt idx="156">
                  <c:v>15.923566878980891</c:v>
                </c:pt>
                <c:pt idx="157">
                  <c:v>15.822784810126583</c:v>
                </c:pt>
                <c:pt idx="158">
                  <c:v>15.723270440251572</c:v>
                </c:pt>
                <c:pt idx="159">
                  <c:v>16.25</c:v>
                </c:pt>
                <c:pt idx="160">
                  <c:v>16.149068322981368</c:v>
                </c:pt>
                <c:pt idx="161">
                  <c:v>16.049382716049383</c:v>
                </c:pt>
                <c:pt idx="162">
                  <c:v>15.950920245398773</c:v>
                </c:pt>
                <c:pt idx="163">
                  <c:v>15.853658536585366</c:v>
                </c:pt>
                <c:pt idx="164">
                  <c:v>15.757575757575756</c:v>
                </c:pt>
                <c:pt idx="165">
                  <c:v>16.265060240963855</c:v>
                </c:pt>
                <c:pt idx="166">
                  <c:v>16.167664670658681</c:v>
                </c:pt>
                <c:pt idx="167">
                  <c:v>16.071428571428573</c:v>
                </c:pt>
                <c:pt idx="168">
                  <c:v>15.976331360946746</c:v>
                </c:pt>
                <c:pt idx="169">
                  <c:v>15.882352941176469</c:v>
                </c:pt>
                <c:pt idx="170">
                  <c:v>15.789473684210526</c:v>
                </c:pt>
                <c:pt idx="171">
                  <c:v>15.697674418604651</c:v>
                </c:pt>
                <c:pt idx="172">
                  <c:v>15.606936416184972</c:v>
                </c:pt>
                <c:pt idx="173">
                  <c:v>15.517241379310345</c:v>
                </c:pt>
                <c:pt idx="174">
                  <c:v>15.428571428571427</c:v>
                </c:pt>
                <c:pt idx="175">
                  <c:v>15.340909090909092</c:v>
                </c:pt>
                <c:pt idx="176">
                  <c:v>15.254237288135593</c:v>
                </c:pt>
                <c:pt idx="177">
                  <c:v>15.168539325842698</c:v>
                </c:pt>
                <c:pt idx="178">
                  <c:v>15.64245810055866</c:v>
                </c:pt>
                <c:pt idx="179">
                  <c:v>15.555555555555555</c:v>
                </c:pt>
                <c:pt idx="180">
                  <c:v>16.022099447513813</c:v>
                </c:pt>
                <c:pt idx="181">
                  <c:v>15.934065934065933</c:v>
                </c:pt>
                <c:pt idx="182">
                  <c:v>15.846994535519126</c:v>
                </c:pt>
                <c:pt idx="183">
                  <c:v>15.760869565217392</c:v>
                </c:pt>
                <c:pt idx="184">
                  <c:v>15.675675675675677</c:v>
                </c:pt>
                <c:pt idx="185">
                  <c:v>15.591397849462366</c:v>
                </c:pt>
                <c:pt idx="186">
                  <c:v>15.508021390374333</c:v>
                </c:pt>
                <c:pt idx="187">
                  <c:v>15.425531914893616</c:v>
                </c:pt>
                <c:pt idx="188">
                  <c:v>15.343915343915343</c:v>
                </c:pt>
                <c:pt idx="189">
                  <c:v>15.263157894736842</c:v>
                </c:pt>
                <c:pt idx="190">
                  <c:v>15.183246073298429</c:v>
                </c:pt>
                <c:pt idx="191">
                  <c:v>15.625</c:v>
                </c:pt>
                <c:pt idx="192">
                  <c:v>15.544041450777202</c:v>
                </c:pt>
                <c:pt idx="193">
                  <c:v>15.463917525773196</c:v>
                </c:pt>
                <c:pt idx="194">
                  <c:v>15.384615384615385</c:v>
                </c:pt>
                <c:pt idx="195">
                  <c:v>15.306122448979592</c:v>
                </c:pt>
                <c:pt idx="196">
                  <c:v>15.736040609137056</c:v>
                </c:pt>
                <c:pt idx="197">
                  <c:v>15.656565656565657</c:v>
                </c:pt>
                <c:pt idx="198">
                  <c:v>15.577889447236181</c:v>
                </c:pt>
                <c:pt idx="199">
                  <c:v>15.5</c:v>
                </c:pt>
                <c:pt idx="200">
                  <c:v>15.422885572139302</c:v>
                </c:pt>
                <c:pt idx="201">
                  <c:v>15.841584158415841</c:v>
                </c:pt>
                <c:pt idx="202">
                  <c:v>15.763546798029557</c:v>
                </c:pt>
                <c:pt idx="203">
                  <c:v>15.686274509803921</c:v>
                </c:pt>
                <c:pt idx="204">
                  <c:v>15.609756097560975</c:v>
                </c:pt>
                <c:pt idx="205">
                  <c:v>16.019417475728158</c:v>
                </c:pt>
                <c:pt idx="206">
                  <c:v>15.942028985507244</c:v>
                </c:pt>
                <c:pt idx="207">
                  <c:v>15.865384615384615</c:v>
                </c:pt>
                <c:pt idx="208">
                  <c:v>15.789473684210526</c:v>
                </c:pt>
                <c:pt idx="209">
                  <c:v>15.714285714285714</c:v>
                </c:pt>
                <c:pt idx="210">
                  <c:v>15.639810426540285</c:v>
                </c:pt>
                <c:pt idx="211">
                  <c:v>15.566037735849056</c:v>
                </c:pt>
                <c:pt idx="212">
                  <c:v>15.492957746478872</c:v>
                </c:pt>
                <c:pt idx="213">
                  <c:v>15.420560747663551</c:v>
                </c:pt>
                <c:pt idx="214">
                  <c:v>15.348837209302326</c:v>
                </c:pt>
                <c:pt idx="215">
                  <c:v>15.277777777777779</c:v>
                </c:pt>
                <c:pt idx="216">
                  <c:v>15.207373271889402</c:v>
                </c:pt>
                <c:pt idx="217">
                  <c:v>15.137614678899084</c:v>
                </c:pt>
                <c:pt idx="218">
                  <c:v>15.068493150684931</c:v>
                </c:pt>
                <c:pt idx="219">
                  <c:v>15</c:v>
                </c:pt>
                <c:pt idx="220">
                  <c:v>14.932126696832579</c:v>
                </c:pt>
                <c:pt idx="221">
                  <c:v>14.864864864864865</c:v>
                </c:pt>
                <c:pt idx="222">
                  <c:v>14.798206278026907</c:v>
                </c:pt>
                <c:pt idx="223">
                  <c:v>14.732142857142858</c:v>
                </c:pt>
                <c:pt idx="224">
                  <c:v>15.111111111111111</c:v>
                </c:pt>
                <c:pt idx="225">
                  <c:v>15.044247787610621</c:v>
                </c:pt>
                <c:pt idx="226">
                  <c:v>14.977973568281937</c:v>
                </c:pt>
                <c:pt idx="227">
                  <c:v>14.912280701754385</c:v>
                </c:pt>
                <c:pt idx="228">
                  <c:v>14.847161572052403</c:v>
                </c:pt>
                <c:pt idx="229">
                  <c:v>14.782608695652174</c:v>
                </c:pt>
                <c:pt idx="230">
                  <c:v>14.71861471861472</c:v>
                </c:pt>
                <c:pt idx="231">
                  <c:v>15.086206896551724</c:v>
                </c:pt>
                <c:pt idx="232">
                  <c:v>15.450643776824036</c:v>
                </c:pt>
                <c:pt idx="233">
                  <c:v>15.811965811965811</c:v>
                </c:pt>
                <c:pt idx="234">
                  <c:v>15.74468085106383</c:v>
                </c:pt>
                <c:pt idx="235">
                  <c:v>15.677966101694915</c:v>
                </c:pt>
                <c:pt idx="236">
                  <c:v>15.611814345991561</c:v>
                </c:pt>
                <c:pt idx="237">
                  <c:v>15.966386554621847</c:v>
                </c:pt>
                <c:pt idx="238">
                  <c:v>15.899581589958158</c:v>
                </c:pt>
                <c:pt idx="239">
                  <c:v>15.833333333333332</c:v>
                </c:pt>
                <c:pt idx="240">
                  <c:v>16.182572614107883</c:v>
                </c:pt>
                <c:pt idx="241">
                  <c:v>16.115702479338843</c:v>
                </c:pt>
                <c:pt idx="242">
                  <c:v>16.049382716049383</c:v>
                </c:pt>
                <c:pt idx="243">
                  <c:v>15.983606557377051</c:v>
                </c:pt>
                <c:pt idx="244">
                  <c:v>15.918367346938775</c:v>
                </c:pt>
                <c:pt idx="245">
                  <c:v>15.853658536585366</c:v>
                </c:pt>
                <c:pt idx="246">
                  <c:v>16.194331983805668</c:v>
                </c:pt>
                <c:pt idx="247">
                  <c:v>16.129032258064516</c:v>
                </c:pt>
                <c:pt idx="248">
                  <c:v>16.46586345381526</c:v>
                </c:pt>
                <c:pt idx="249">
                  <c:v>16.8</c:v>
                </c:pt>
                <c:pt idx="250">
                  <c:v>16.733067729083665</c:v>
                </c:pt>
                <c:pt idx="251">
                  <c:v>16.666666666666664</c:v>
                </c:pt>
                <c:pt idx="252">
                  <c:v>16.600790513833992</c:v>
                </c:pt>
                <c:pt idx="253">
                  <c:v>16.929133858267718</c:v>
                </c:pt>
                <c:pt idx="254">
                  <c:v>16.862745098039216</c:v>
                </c:pt>
                <c:pt idx="255">
                  <c:v>17.1875</c:v>
                </c:pt>
                <c:pt idx="256">
                  <c:v>17.120622568093385</c:v>
                </c:pt>
                <c:pt idx="257">
                  <c:v>17.054263565891471</c:v>
                </c:pt>
                <c:pt idx="258">
                  <c:v>16.988416988416986</c:v>
                </c:pt>
                <c:pt idx="259">
                  <c:v>16.923076923076923</c:v>
                </c:pt>
                <c:pt idx="260">
                  <c:v>16.85823754789272</c:v>
                </c:pt>
                <c:pt idx="261">
                  <c:v>16.793893129770993</c:v>
                </c:pt>
                <c:pt idx="262">
                  <c:v>16.730038022813687</c:v>
                </c:pt>
                <c:pt idx="263">
                  <c:v>16.666666666666664</c:v>
                </c:pt>
                <c:pt idx="264">
                  <c:v>16.60377358490566</c:v>
                </c:pt>
                <c:pt idx="265">
                  <c:v>16.917293233082706</c:v>
                </c:pt>
                <c:pt idx="266">
                  <c:v>16.853932584269664</c:v>
                </c:pt>
                <c:pt idx="267">
                  <c:v>16.791044776119403</c:v>
                </c:pt>
                <c:pt idx="268">
                  <c:v>16.728624535315987</c:v>
                </c:pt>
                <c:pt idx="269">
                  <c:v>16.666666666666664</c:v>
                </c:pt>
                <c:pt idx="270">
                  <c:v>16.605166051660518</c:v>
                </c:pt>
                <c:pt idx="271">
                  <c:v>16.544117647058822</c:v>
                </c:pt>
                <c:pt idx="272">
                  <c:v>16.483516483516482</c:v>
                </c:pt>
                <c:pt idx="273">
                  <c:v>16.788321167883211</c:v>
                </c:pt>
                <c:pt idx="274">
                  <c:v>17.09090909090909</c:v>
                </c:pt>
                <c:pt idx="275">
                  <c:v>17.028985507246379</c:v>
                </c:pt>
                <c:pt idx="276">
                  <c:v>16.967509025270758</c:v>
                </c:pt>
                <c:pt idx="277">
                  <c:v>16.906474820143885</c:v>
                </c:pt>
                <c:pt idx="278">
                  <c:v>16.845878136200717</c:v>
                </c:pt>
                <c:pt idx="279">
                  <c:v>16.785714285714285</c:v>
                </c:pt>
                <c:pt idx="280">
                  <c:v>16.72597864768683</c:v>
                </c:pt>
                <c:pt idx="281">
                  <c:v>16.666666666666664</c:v>
                </c:pt>
                <c:pt idx="282">
                  <c:v>16.96113074204947</c:v>
                </c:pt>
                <c:pt idx="283">
                  <c:v>16.901408450704224</c:v>
                </c:pt>
                <c:pt idx="284">
                  <c:v>16.842105263157894</c:v>
                </c:pt>
                <c:pt idx="285">
                  <c:v>17.132867132867133</c:v>
                </c:pt>
                <c:pt idx="286">
                  <c:v>17.073170731707318</c:v>
                </c:pt>
                <c:pt idx="287">
                  <c:v>17.013888888888889</c:v>
                </c:pt>
                <c:pt idx="288">
                  <c:v>16.955017301038062</c:v>
                </c:pt>
                <c:pt idx="289">
                  <c:v>16.896551724137932</c:v>
                </c:pt>
                <c:pt idx="290">
                  <c:v>16.838487972508592</c:v>
                </c:pt>
                <c:pt idx="291">
                  <c:v>17.123287671232877</c:v>
                </c:pt>
                <c:pt idx="292">
                  <c:v>17.064846416382252</c:v>
                </c:pt>
                <c:pt idx="293">
                  <c:v>17.006802721088434</c:v>
                </c:pt>
                <c:pt idx="294">
                  <c:v>16.949152542372879</c:v>
                </c:pt>
                <c:pt idx="295">
                  <c:v>16.891891891891891</c:v>
                </c:pt>
                <c:pt idx="296">
                  <c:v>16.835016835016837</c:v>
                </c:pt>
                <c:pt idx="297">
                  <c:v>16.778523489932887</c:v>
                </c:pt>
                <c:pt idx="298">
                  <c:v>16.722408026755854</c:v>
                </c:pt>
                <c:pt idx="299">
                  <c:v>16.666666666666664</c:v>
                </c:pt>
                <c:pt idx="300">
                  <c:v>16.611295681063122</c:v>
                </c:pt>
                <c:pt idx="301">
                  <c:v>16.556291390728479</c:v>
                </c:pt>
                <c:pt idx="302">
                  <c:v>16.5016501650165</c:v>
                </c:pt>
                <c:pt idx="303">
                  <c:v>16.447368421052634</c:v>
                </c:pt>
                <c:pt idx="304">
                  <c:v>16.721311475409838</c:v>
                </c:pt>
                <c:pt idx="305">
                  <c:v>16.993464052287582</c:v>
                </c:pt>
                <c:pt idx="306">
                  <c:v>16.938110749185668</c:v>
                </c:pt>
                <c:pt idx="307">
                  <c:v>16.883116883116884</c:v>
                </c:pt>
                <c:pt idx="308">
                  <c:v>16.828478964401295</c:v>
                </c:pt>
                <c:pt idx="309">
                  <c:v>16.7741935483871</c:v>
                </c:pt>
                <c:pt idx="310">
                  <c:v>16.720257234726688</c:v>
                </c:pt>
                <c:pt idx="311">
                  <c:v>16.666666666666664</c:v>
                </c:pt>
                <c:pt idx="312">
                  <c:v>16.613418530351439</c:v>
                </c:pt>
                <c:pt idx="313">
                  <c:v>16.560509554140125</c:v>
                </c:pt>
                <c:pt idx="314">
                  <c:v>16.507936507936506</c:v>
                </c:pt>
                <c:pt idx="315">
                  <c:v>16.455696202531644</c:v>
                </c:pt>
                <c:pt idx="316">
                  <c:v>16.403785488958992</c:v>
                </c:pt>
                <c:pt idx="317">
                  <c:v>16.352201257861633</c:v>
                </c:pt>
                <c:pt idx="318">
                  <c:v>16.300940438871471</c:v>
                </c:pt>
                <c:pt idx="319">
                  <c:v>16.25</c:v>
                </c:pt>
                <c:pt idx="320">
                  <c:v>16.199376947040498</c:v>
                </c:pt>
                <c:pt idx="321">
                  <c:v>16.459627329192546</c:v>
                </c:pt>
                <c:pt idx="322">
                  <c:v>16.408668730650156</c:v>
                </c:pt>
                <c:pt idx="323">
                  <c:v>16.358024691358025</c:v>
                </c:pt>
                <c:pt idx="324">
                  <c:v>16.307692307692307</c:v>
                </c:pt>
                <c:pt idx="325">
                  <c:v>16.257668711656443</c:v>
                </c:pt>
                <c:pt idx="326">
                  <c:v>16.207951070336392</c:v>
                </c:pt>
                <c:pt idx="327">
                  <c:v>16.463414634146343</c:v>
                </c:pt>
                <c:pt idx="328">
                  <c:v>16.413373860182372</c:v>
                </c:pt>
                <c:pt idx="329">
                  <c:v>16.666666666666664</c:v>
                </c:pt>
                <c:pt idx="330">
                  <c:v>16.61631419939577</c:v>
                </c:pt>
                <c:pt idx="331">
                  <c:v>16.566265060240966</c:v>
                </c:pt>
                <c:pt idx="332">
                  <c:v>16.816816816816818</c:v>
                </c:pt>
                <c:pt idx="333">
                  <c:v>16.766467065868262</c:v>
                </c:pt>
                <c:pt idx="334">
                  <c:v>17.014925373134329</c:v>
                </c:pt>
                <c:pt idx="335">
                  <c:v>16.964285714285715</c:v>
                </c:pt>
                <c:pt idx="336">
                  <c:v>16.913946587537094</c:v>
                </c:pt>
                <c:pt idx="337">
                  <c:v>16.863905325443788</c:v>
                </c:pt>
                <c:pt idx="338">
                  <c:v>16.814159292035399</c:v>
                </c:pt>
                <c:pt idx="339">
                  <c:v>17.058823529411764</c:v>
                </c:pt>
                <c:pt idx="340">
                  <c:v>17.008797653958943</c:v>
                </c:pt>
                <c:pt idx="341">
                  <c:v>16.959064327485379</c:v>
                </c:pt>
                <c:pt idx="342">
                  <c:v>16.909620991253643</c:v>
                </c:pt>
                <c:pt idx="343">
                  <c:v>16.86046511627907</c:v>
                </c:pt>
                <c:pt idx="344">
                  <c:v>16.811594202898551</c:v>
                </c:pt>
                <c:pt idx="345">
                  <c:v>17.052023121387283</c:v>
                </c:pt>
                <c:pt idx="346">
                  <c:v>17.002881844380404</c:v>
                </c:pt>
                <c:pt idx="347">
                  <c:v>16.954022988505745</c:v>
                </c:pt>
                <c:pt idx="348">
                  <c:v>16.905444126074499</c:v>
                </c:pt>
                <c:pt idx="349">
                  <c:v>16.857142857142858</c:v>
                </c:pt>
                <c:pt idx="350">
                  <c:v>16.809116809116809</c:v>
                </c:pt>
                <c:pt idx="351">
                  <c:v>16.761363636363637</c:v>
                </c:pt>
                <c:pt idx="352">
                  <c:v>16.71388101983003</c:v>
                </c:pt>
                <c:pt idx="353">
                  <c:v>16.666666666666664</c:v>
                </c:pt>
                <c:pt idx="354">
                  <c:v>16.619718309859156</c:v>
                </c:pt>
                <c:pt idx="355">
                  <c:v>16.573033707865168</c:v>
                </c:pt>
                <c:pt idx="356">
                  <c:v>16.526610644257701</c:v>
                </c:pt>
                <c:pt idx="357">
                  <c:v>16.480446927374302</c:v>
                </c:pt>
                <c:pt idx="358">
                  <c:v>16.434540389972145</c:v>
                </c:pt>
                <c:pt idx="359">
                  <c:v>16.666666666666664</c:v>
                </c:pt>
                <c:pt idx="360">
                  <c:v>16.62049861495845</c:v>
                </c:pt>
                <c:pt idx="361">
                  <c:v>16.574585635359114</c:v>
                </c:pt>
                <c:pt idx="362">
                  <c:v>16.528925619834713</c:v>
                </c:pt>
                <c:pt idx="363">
                  <c:v>16.483516483516482</c:v>
                </c:pt>
                <c:pt idx="364">
                  <c:v>16.43835616438356</c:v>
                </c:pt>
                <c:pt idx="365">
                  <c:v>16.393442622950818</c:v>
                </c:pt>
                <c:pt idx="366">
                  <c:v>16.348773841961854</c:v>
                </c:pt>
                <c:pt idx="367">
                  <c:v>16.304347826086957</c:v>
                </c:pt>
                <c:pt idx="368">
                  <c:v>16.531165311653119</c:v>
                </c:pt>
                <c:pt idx="369">
                  <c:v>16.756756756756758</c:v>
                </c:pt>
                <c:pt idx="370">
                  <c:v>16.711590296495956</c:v>
                </c:pt>
                <c:pt idx="371">
                  <c:v>16.666666666666664</c:v>
                </c:pt>
                <c:pt idx="372">
                  <c:v>16.621983914209114</c:v>
                </c:pt>
                <c:pt idx="373">
                  <c:v>16.844919786096256</c:v>
                </c:pt>
                <c:pt idx="374">
                  <c:v>16.8</c:v>
                </c:pt>
                <c:pt idx="375">
                  <c:v>16.75531914893617</c:v>
                </c:pt>
                <c:pt idx="376">
                  <c:v>16.710875331564985</c:v>
                </c:pt>
                <c:pt idx="377">
                  <c:v>16.666666666666664</c:v>
                </c:pt>
                <c:pt idx="378">
                  <c:v>16.622691292875992</c:v>
                </c:pt>
                <c:pt idx="379">
                  <c:v>16.842105263157894</c:v>
                </c:pt>
                <c:pt idx="380">
                  <c:v>16.797900262467191</c:v>
                </c:pt>
                <c:pt idx="381">
                  <c:v>16.753926701570681</c:v>
                </c:pt>
                <c:pt idx="382">
                  <c:v>16.710182767624023</c:v>
                </c:pt>
                <c:pt idx="383">
                  <c:v>16.927083333333336</c:v>
                </c:pt>
                <c:pt idx="384">
                  <c:v>16.883116883116884</c:v>
                </c:pt>
                <c:pt idx="385">
                  <c:v>16.839378238341968</c:v>
                </c:pt>
                <c:pt idx="386">
                  <c:v>16.795865633074936</c:v>
                </c:pt>
                <c:pt idx="387">
                  <c:v>17.010309278350515</c:v>
                </c:pt>
                <c:pt idx="388">
                  <c:v>16.966580976863753</c:v>
                </c:pt>
                <c:pt idx="389">
                  <c:v>16.923076923076923</c:v>
                </c:pt>
                <c:pt idx="390">
                  <c:v>16.879795396419436</c:v>
                </c:pt>
                <c:pt idx="391">
                  <c:v>16.836734693877549</c:v>
                </c:pt>
                <c:pt idx="392">
                  <c:v>16.793893129770993</c:v>
                </c:pt>
                <c:pt idx="393">
                  <c:v>16.751269035532996</c:v>
                </c:pt>
                <c:pt idx="394">
                  <c:v>16.708860759493671</c:v>
                </c:pt>
                <c:pt idx="395">
                  <c:v>16.91919191919192</c:v>
                </c:pt>
                <c:pt idx="396">
                  <c:v>16.876574307304786</c:v>
                </c:pt>
                <c:pt idx="397">
                  <c:v>16.834170854271356</c:v>
                </c:pt>
                <c:pt idx="398">
                  <c:v>16.791979949874687</c:v>
                </c:pt>
                <c:pt idx="399">
                  <c:v>16.75</c:v>
                </c:pt>
                <c:pt idx="400">
                  <c:v>16.708229426433917</c:v>
                </c:pt>
                <c:pt idx="401">
                  <c:v>16.666666666666664</c:v>
                </c:pt>
                <c:pt idx="402">
                  <c:v>16.625310173697269</c:v>
                </c:pt>
                <c:pt idx="403">
                  <c:v>16.584158415841586</c:v>
                </c:pt>
                <c:pt idx="404">
                  <c:v>16.543209876543212</c:v>
                </c:pt>
                <c:pt idx="405">
                  <c:v>16.502463054187192</c:v>
                </c:pt>
                <c:pt idx="406">
                  <c:v>16.461916461916463</c:v>
                </c:pt>
                <c:pt idx="407">
                  <c:v>16.421568627450981</c:v>
                </c:pt>
                <c:pt idx="408">
                  <c:v>16.625916870415647</c:v>
                </c:pt>
                <c:pt idx="409">
                  <c:v>16.585365853658537</c:v>
                </c:pt>
                <c:pt idx="410">
                  <c:v>16.545012165450121</c:v>
                </c:pt>
                <c:pt idx="411">
                  <c:v>16.50485436893204</c:v>
                </c:pt>
                <c:pt idx="412">
                  <c:v>16.464891041162229</c:v>
                </c:pt>
                <c:pt idx="413">
                  <c:v>16.425120772946862</c:v>
                </c:pt>
                <c:pt idx="414">
                  <c:v>16.3855421686747</c:v>
                </c:pt>
                <c:pt idx="415">
                  <c:v>16.346153846153847</c:v>
                </c:pt>
                <c:pt idx="416">
                  <c:v>16.546762589928058</c:v>
                </c:pt>
                <c:pt idx="417">
                  <c:v>16.507177033492823</c:v>
                </c:pt>
                <c:pt idx="418">
                  <c:v>16.467780429594274</c:v>
                </c:pt>
                <c:pt idx="419">
                  <c:v>16.666666666666664</c:v>
                </c:pt>
                <c:pt idx="420">
                  <c:v>16.6270783847981</c:v>
                </c:pt>
                <c:pt idx="421">
                  <c:v>16.587677725118482</c:v>
                </c:pt>
                <c:pt idx="422">
                  <c:v>16.548463356973993</c:v>
                </c:pt>
                <c:pt idx="423">
                  <c:v>16.745283018867923</c:v>
                </c:pt>
                <c:pt idx="424">
                  <c:v>16.941176470588236</c:v>
                </c:pt>
                <c:pt idx="425">
                  <c:v>16.901408450704224</c:v>
                </c:pt>
                <c:pt idx="426">
                  <c:v>17.096018735362996</c:v>
                </c:pt>
                <c:pt idx="427">
                  <c:v>17.289719626168225</c:v>
                </c:pt>
                <c:pt idx="428">
                  <c:v>17.482517482517483</c:v>
                </c:pt>
                <c:pt idx="429">
                  <c:v>17.441860465116278</c:v>
                </c:pt>
                <c:pt idx="430">
                  <c:v>17.40139211136891</c:v>
                </c:pt>
                <c:pt idx="431">
                  <c:v>17.592592592592592</c:v>
                </c:pt>
                <c:pt idx="432">
                  <c:v>17.551963048498845</c:v>
                </c:pt>
                <c:pt idx="433">
                  <c:v>17.511520737327189</c:v>
                </c:pt>
                <c:pt idx="434">
                  <c:v>17.701149425287358</c:v>
                </c:pt>
                <c:pt idx="435">
                  <c:v>17.660550458715598</c:v>
                </c:pt>
                <c:pt idx="436">
                  <c:v>17.620137299771166</c:v>
                </c:pt>
                <c:pt idx="437">
                  <c:v>17.579908675799086</c:v>
                </c:pt>
                <c:pt idx="438">
                  <c:v>17.767653758542139</c:v>
                </c:pt>
                <c:pt idx="439">
                  <c:v>17.954545454545453</c:v>
                </c:pt>
                <c:pt idx="440">
                  <c:v>17.913832199546487</c:v>
                </c:pt>
                <c:pt idx="441">
                  <c:v>17.873303167420815</c:v>
                </c:pt>
                <c:pt idx="442">
                  <c:v>17.832957110609481</c:v>
                </c:pt>
                <c:pt idx="443">
                  <c:v>18.018018018018019</c:v>
                </c:pt>
                <c:pt idx="444">
                  <c:v>17.977528089887642</c:v>
                </c:pt>
                <c:pt idx="445">
                  <c:v>17.937219730941703</c:v>
                </c:pt>
                <c:pt idx="446">
                  <c:v>17.897091722595079</c:v>
                </c:pt>
                <c:pt idx="447">
                  <c:v>17.857142857142858</c:v>
                </c:pt>
                <c:pt idx="448">
                  <c:v>17.817371937639198</c:v>
                </c:pt>
                <c:pt idx="449">
                  <c:v>18</c:v>
                </c:pt>
                <c:pt idx="450">
                  <c:v>17.96008869179601</c:v>
                </c:pt>
                <c:pt idx="451">
                  <c:v>17.920353982300885</c:v>
                </c:pt>
                <c:pt idx="452">
                  <c:v>17.880794701986755</c:v>
                </c:pt>
                <c:pt idx="453">
                  <c:v>17.841409691629956</c:v>
                </c:pt>
                <c:pt idx="454">
                  <c:v>17.802197802197803</c:v>
                </c:pt>
                <c:pt idx="455">
                  <c:v>17.763157894736842</c:v>
                </c:pt>
                <c:pt idx="456">
                  <c:v>17.724288840262581</c:v>
                </c:pt>
                <c:pt idx="457">
                  <c:v>17.685589519650655</c:v>
                </c:pt>
                <c:pt idx="458">
                  <c:v>17.647058823529413</c:v>
                </c:pt>
                <c:pt idx="459">
                  <c:v>17.608695652173914</c:v>
                </c:pt>
                <c:pt idx="460">
                  <c:v>17.570498915401302</c:v>
                </c:pt>
                <c:pt idx="461">
                  <c:v>17.532467532467532</c:v>
                </c:pt>
                <c:pt idx="462">
                  <c:v>17.494600431965441</c:v>
                </c:pt>
                <c:pt idx="463">
                  <c:v>17.456896551724139</c:v>
                </c:pt>
                <c:pt idx="464">
                  <c:v>17.419354838709676</c:v>
                </c:pt>
                <c:pt idx="465">
                  <c:v>17.381974248927037</c:v>
                </c:pt>
                <c:pt idx="466">
                  <c:v>17.344753747323342</c:v>
                </c:pt>
                <c:pt idx="467">
                  <c:v>17.307692307692307</c:v>
                </c:pt>
                <c:pt idx="468">
                  <c:v>17.484008528784649</c:v>
                </c:pt>
                <c:pt idx="469">
                  <c:v>17.446808510638299</c:v>
                </c:pt>
                <c:pt idx="470">
                  <c:v>17.40976645435244</c:v>
                </c:pt>
                <c:pt idx="471">
                  <c:v>17.372881355932204</c:v>
                </c:pt>
                <c:pt idx="472">
                  <c:v>17.336152219873149</c:v>
                </c:pt>
                <c:pt idx="473">
                  <c:v>17.299578059071731</c:v>
                </c:pt>
                <c:pt idx="474">
                  <c:v>17.263157894736842</c:v>
                </c:pt>
                <c:pt idx="475">
                  <c:v>17.436974789915965</c:v>
                </c:pt>
                <c:pt idx="476">
                  <c:v>17.40041928721174</c:v>
                </c:pt>
                <c:pt idx="477">
                  <c:v>17.573221757322173</c:v>
                </c:pt>
                <c:pt idx="478">
                  <c:v>17.536534446764094</c:v>
                </c:pt>
                <c:pt idx="479">
                  <c:v>17.5</c:v>
                </c:pt>
                <c:pt idx="480">
                  <c:v>17.463617463617464</c:v>
                </c:pt>
                <c:pt idx="481">
                  <c:v>17.427385892116181</c:v>
                </c:pt>
                <c:pt idx="482">
                  <c:v>17.598343685300208</c:v>
                </c:pt>
                <c:pt idx="483">
                  <c:v>17.561983471074381</c:v>
                </c:pt>
                <c:pt idx="484">
                  <c:v>17.525773195876287</c:v>
                </c:pt>
                <c:pt idx="485">
                  <c:v>17.489711934156379</c:v>
                </c:pt>
                <c:pt idx="486">
                  <c:v>17.659137577002053</c:v>
                </c:pt>
                <c:pt idx="487">
                  <c:v>17.622950819672131</c:v>
                </c:pt>
                <c:pt idx="488">
                  <c:v>17.586912065439673</c:v>
                </c:pt>
                <c:pt idx="489">
                  <c:v>17.551020408163264</c:v>
                </c:pt>
                <c:pt idx="490">
                  <c:v>17.515274949083505</c:v>
                </c:pt>
                <c:pt idx="491">
                  <c:v>17.479674796747968</c:v>
                </c:pt>
                <c:pt idx="492">
                  <c:v>17.444219066937119</c:v>
                </c:pt>
                <c:pt idx="493">
                  <c:v>17.408906882591094</c:v>
                </c:pt>
                <c:pt idx="494">
                  <c:v>17.575757575757574</c:v>
                </c:pt>
                <c:pt idx="495">
                  <c:v>17.540322580645164</c:v>
                </c:pt>
                <c:pt idx="496">
                  <c:v>17.505030181086521</c:v>
                </c:pt>
                <c:pt idx="497">
                  <c:v>17.46987951807229</c:v>
                </c:pt>
                <c:pt idx="498">
                  <c:v>17.635270541082164</c:v>
                </c:pt>
                <c:pt idx="499">
                  <c:v>17.599999999999998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C3-4541-AA38-C79BD77F84B4}"/>
            </c:ext>
          </c:extLst>
        </c:ser>
        <c:ser>
          <c:idx val="4"/>
          <c:order val="4"/>
          <c:tx>
            <c:strRef>
              <c:f>Dice!$M$1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Dice!$M$2:$M$501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33.333333333333329</c:v>
                </c:pt>
                <c:pt idx="3">
                  <c:v>25</c:v>
                </c:pt>
                <c:pt idx="4">
                  <c:v>20</c:v>
                </c:pt>
                <c:pt idx="5">
                  <c:v>16.666666666666664</c:v>
                </c:pt>
                <c:pt idx="6">
                  <c:v>14.285714285714285</c:v>
                </c:pt>
                <c:pt idx="7">
                  <c:v>12.5</c:v>
                </c:pt>
                <c:pt idx="8">
                  <c:v>22.222222222222221</c:v>
                </c:pt>
                <c:pt idx="9">
                  <c:v>20</c:v>
                </c:pt>
                <c:pt idx="10">
                  <c:v>27.27272727272727</c:v>
                </c:pt>
                <c:pt idx="11">
                  <c:v>25</c:v>
                </c:pt>
                <c:pt idx="12">
                  <c:v>23.076923076923077</c:v>
                </c:pt>
                <c:pt idx="13">
                  <c:v>21.428571428571427</c:v>
                </c:pt>
                <c:pt idx="14">
                  <c:v>20</c:v>
                </c:pt>
                <c:pt idx="15">
                  <c:v>18.75</c:v>
                </c:pt>
                <c:pt idx="16">
                  <c:v>17.647058823529413</c:v>
                </c:pt>
                <c:pt idx="17">
                  <c:v>16.666666666666664</c:v>
                </c:pt>
                <c:pt idx="18">
                  <c:v>15.789473684210526</c:v>
                </c:pt>
                <c:pt idx="19">
                  <c:v>15</c:v>
                </c:pt>
                <c:pt idx="20">
                  <c:v>19.047619047619047</c:v>
                </c:pt>
                <c:pt idx="21">
                  <c:v>18.181818181818183</c:v>
                </c:pt>
                <c:pt idx="22">
                  <c:v>17.391304347826086</c:v>
                </c:pt>
                <c:pt idx="23">
                  <c:v>16.666666666666664</c:v>
                </c:pt>
                <c:pt idx="24">
                  <c:v>16</c:v>
                </c:pt>
                <c:pt idx="25">
                  <c:v>15.384615384615385</c:v>
                </c:pt>
                <c:pt idx="26">
                  <c:v>14.814814814814813</c:v>
                </c:pt>
                <c:pt idx="27">
                  <c:v>17.857142857142858</c:v>
                </c:pt>
                <c:pt idx="28">
                  <c:v>17.241379310344829</c:v>
                </c:pt>
                <c:pt idx="29">
                  <c:v>20</c:v>
                </c:pt>
                <c:pt idx="30">
                  <c:v>19.35483870967742</c:v>
                </c:pt>
                <c:pt idx="31">
                  <c:v>21.875</c:v>
                </c:pt>
                <c:pt idx="32">
                  <c:v>21.212121212121211</c:v>
                </c:pt>
                <c:pt idx="33">
                  <c:v>20.588235294117645</c:v>
                </c:pt>
                <c:pt idx="34">
                  <c:v>20</c:v>
                </c:pt>
                <c:pt idx="35">
                  <c:v>19.444444444444446</c:v>
                </c:pt>
                <c:pt idx="36">
                  <c:v>18.918918918918919</c:v>
                </c:pt>
                <c:pt idx="37">
                  <c:v>18.421052631578945</c:v>
                </c:pt>
                <c:pt idx="38">
                  <c:v>17.948717948717949</c:v>
                </c:pt>
                <c:pt idx="39">
                  <c:v>20</c:v>
                </c:pt>
                <c:pt idx="40">
                  <c:v>19.512195121951219</c:v>
                </c:pt>
                <c:pt idx="41">
                  <c:v>21.428571428571427</c:v>
                </c:pt>
                <c:pt idx="42">
                  <c:v>20.930232558139537</c:v>
                </c:pt>
                <c:pt idx="43">
                  <c:v>20.454545454545457</c:v>
                </c:pt>
                <c:pt idx="44">
                  <c:v>20</c:v>
                </c:pt>
                <c:pt idx="45">
                  <c:v>19.565217391304348</c:v>
                </c:pt>
                <c:pt idx="46">
                  <c:v>21.276595744680851</c:v>
                </c:pt>
                <c:pt idx="47">
                  <c:v>20.833333333333336</c:v>
                </c:pt>
                <c:pt idx="48">
                  <c:v>20.408163265306122</c:v>
                </c:pt>
                <c:pt idx="49">
                  <c:v>20</c:v>
                </c:pt>
                <c:pt idx="50">
                  <c:v>21.568627450980394</c:v>
                </c:pt>
                <c:pt idx="51">
                  <c:v>23.076923076923077</c:v>
                </c:pt>
                <c:pt idx="52">
                  <c:v>22.641509433962266</c:v>
                </c:pt>
                <c:pt idx="53">
                  <c:v>24.074074074074073</c:v>
                </c:pt>
                <c:pt idx="54">
                  <c:v>23.636363636363637</c:v>
                </c:pt>
                <c:pt idx="55">
                  <c:v>23.214285714285715</c:v>
                </c:pt>
                <c:pt idx="56">
                  <c:v>24.561403508771928</c:v>
                </c:pt>
                <c:pt idx="57">
                  <c:v>24.137931034482758</c:v>
                </c:pt>
                <c:pt idx="58">
                  <c:v>25.423728813559322</c:v>
                </c:pt>
                <c:pt idx="59">
                  <c:v>25</c:v>
                </c:pt>
                <c:pt idx="60">
                  <c:v>24.590163934426229</c:v>
                </c:pt>
                <c:pt idx="61">
                  <c:v>24.193548387096776</c:v>
                </c:pt>
                <c:pt idx="62">
                  <c:v>25.396825396825395</c:v>
                </c:pt>
                <c:pt idx="63">
                  <c:v>25</c:v>
                </c:pt>
                <c:pt idx="64">
                  <c:v>24.615384615384617</c:v>
                </c:pt>
                <c:pt idx="65">
                  <c:v>24.242424242424242</c:v>
                </c:pt>
                <c:pt idx="66">
                  <c:v>23.880597014925371</c:v>
                </c:pt>
                <c:pt idx="67">
                  <c:v>25</c:v>
                </c:pt>
                <c:pt idx="68">
                  <c:v>24.637681159420293</c:v>
                </c:pt>
                <c:pt idx="69">
                  <c:v>24.285714285714285</c:v>
                </c:pt>
                <c:pt idx="70">
                  <c:v>23.943661971830984</c:v>
                </c:pt>
                <c:pt idx="71">
                  <c:v>23.611111111111111</c:v>
                </c:pt>
                <c:pt idx="72">
                  <c:v>23.287671232876711</c:v>
                </c:pt>
                <c:pt idx="73">
                  <c:v>24.324324324324326</c:v>
                </c:pt>
                <c:pt idx="74">
                  <c:v>25.333333333333336</c:v>
                </c:pt>
                <c:pt idx="75">
                  <c:v>25</c:v>
                </c:pt>
                <c:pt idx="76">
                  <c:v>24.675324675324674</c:v>
                </c:pt>
                <c:pt idx="77">
                  <c:v>24.358974358974358</c:v>
                </c:pt>
                <c:pt idx="78">
                  <c:v>24.050632911392405</c:v>
                </c:pt>
                <c:pt idx="79">
                  <c:v>23.75</c:v>
                </c:pt>
                <c:pt idx="80">
                  <c:v>24.691358024691358</c:v>
                </c:pt>
                <c:pt idx="81">
                  <c:v>24.390243902439025</c:v>
                </c:pt>
                <c:pt idx="82">
                  <c:v>24.096385542168676</c:v>
                </c:pt>
                <c:pt idx="83">
                  <c:v>23.809523809523807</c:v>
                </c:pt>
                <c:pt idx="84">
                  <c:v>23.52941176470588</c:v>
                </c:pt>
                <c:pt idx="85">
                  <c:v>23.255813953488371</c:v>
                </c:pt>
                <c:pt idx="86">
                  <c:v>22.988505747126435</c:v>
                </c:pt>
                <c:pt idx="87">
                  <c:v>22.727272727272727</c:v>
                </c:pt>
                <c:pt idx="88">
                  <c:v>22.471910112359549</c:v>
                </c:pt>
                <c:pt idx="89">
                  <c:v>22.222222222222221</c:v>
                </c:pt>
                <c:pt idx="90">
                  <c:v>21.978021978021978</c:v>
                </c:pt>
                <c:pt idx="91">
                  <c:v>21.739130434782609</c:v>
                </c:pt>
                <c:pt idx="92">
                  <c:v>21.50537634408602</c:v>
                </c:pt>
                <c:pt idx="93">
                  <c:v>21.276595744680851</c:v>
                </c:pt>
                <c:pt idx="94">
                  <c:v>21.052631578947366</c:v>
                </c:pt>
                <c:pt idx="95">
                  <c:v>20.833333333333336</c:v>
                </c:pt>
                <c:pt idx="96">
                  <c:v>21.649484536082475</c:v>
                </c:pt>
                <c:pt idx="97">
                  <c:v>21.428571428571427</c:v>
                </c:pt>
                <c:pt idx="98">
                  <c:v>21.212121212121211</c:v>
                </c:pt>
                <c:pt idx="99">
                  <c:v>21</c:v>
                </c:pt>
                <c:pt idx="100">
                  <c:v>20.792079207920793</c:v>
                </c:pt>
                <c:pt idx="101">
                  <c:v>21.568627450980394</c:v>
                </c:pt>
                <c:pt idx="102">
                  <c:v>21.359223300970871</c:v>
                </c:pt>
                <c:pt idx="103">
                  <c:v>22.115384615384613</c:v>
                </c:pt>
                <c:pt idx="104">
                  <c:v>21.904761904761905</c:v>
                </c:pt>
                <c:pt idx="105">
                  <c:v>21.69811320754717</c:v>
                </c:pt>
                <c:pt idx="106">
                  <c:v>22.429906542056074</c:v>
                </c:pt>
                <c:pt idx="107">
                  <c:v>22.222222222222221</c:v>
                </c:pt>
                <c:pt idx="108">
                  <c:v>22.935779816513762</c:v>
                </c:pt>
                <c:pt idx="109">
                  <c:v>22.727272727272727</c:v>
                </c:pt>
                <c:pt idx="110">
                  <c:v>22.522522522522522</c:v>
                </c:pt>
                <c:pt idx="111">
                  <c:v>22.321428571428573</c:v>
                </c:pt>
                <c:pt idx="112">
                  <c:v>22.123893805309734</c:v>
                </c:pt>
                <c:pt idx="113">
                  <c:v>21.929824561403507</c:v>
                </c:pt>
                <c:pt idx="114">
                  <c:v>21.739130434782609</c:v>
                </c:pt>
                <c:pt idx="115">
                  <c:v>21.551724137931032</c:v>
                </c:pt>
                <c:pt idx="116">
                  <c:v>22.222222222222221</c:v>
                </c:pt>
                <c:pt idx="117">
                  <c:v>22.033898305084744</c:v>
                </c:pt>
                <c:pt idx="118">
                  <c:v>21.84873949579832</c:v>
                </c:pt>
                <c:pt idx="119">
                  <c:v>21.666666666666668</c:v>
                </c:pt>
                <c:pt idx="120">
                  <c:v>21.487603305785125</c:v>
                </c:pt>
                <c:pt idx="121">
                  <c:v>21.311475409836063</c:v>
                </c:pt>
                <c:pt idx="122">
                  <c:v>21.138211382113823</c:v>
                </c:pt>
                <c:pt idx="123">
                  <c:v>20.967741935483872</c:v>
                </c:pt>
                <c:pt idx="124">
                  <c:v>20.8</c:v>
                </c:pt>
                <c:pt idx="125">
                  <c:v>20.634920634920633</c:v>
                </c:pt>
                <c:pt idx="126">
                  <c:v>20.472440944881889</c:v>
                </c:pt>
                <c:pt idx="127">
                  <c:v>20.3125</c:v>
                </c:pt>
                <c:pt idx="128">
                  <c:v>20.155038759689923</c:v>
                </c:pt>
                <c:pt idx="129">
                  <c:v>20.76923076923077</c:v>
                </c:pt>
                <c:pt idx="130">
                  <c:v>20.610687022900763</c:v>
                </c:pt>
                <c:pt idx="131">
                  <c:v>20.454545454545457</c:v>
                </c:pt>
                <c:pt idx="132">
                  <c:v>20.300751879699249</c:v>
                </c:pt>
                <c:pt idx="133">
                  <c:v>20.149253731343283</c:v>
                </c:pt>
                <c:pt idx="134">
                  <c:v>20.74074074074074</c:v>
                </c:pt>
                <c:pt idx="135">
                  <c:v>20.588235294117645</c:v>
                </c:pt>
                <c:pt idx="136">
                  <c:v>20.437956204379564</c:v>
                </c:pt>
                <c:pt idx="137">
                  <c:v>20.289855072463769</c:v>
                </c:pt>
                <c:pt idx="138">
                  <c:v>20.14388489208633</c:v>
                </c:pt>
                <c:pt idx="139">
                  <c:v>20.714285714285715</c:v>
                </c:pt>
                <c:pt idx="140">
                  <c:v>20.567375886524822</c:v>
                </c:pt>
                <c:pt idx="141">
                  <c:v>20.422535211267608</c:v>
                </c:pt>
                <c:pt idx="142">
                  <c:v>20.97902097902098</c:v>
                </c:pt>
                <c:pt idx="143">
                  <c:v>20.833333333333336</c:v>
                </c:pt>
                <c:pt idx="144">
                  <c:v>20.689655172413794</c:v>
                </c:pt>
                <c:pt idx="145">
                  <c:v>20.547945205479451</c:v>
                </c:pt>
                <c:pt idx="146">
                  <c:v>20.408163265306122</c:v>
                </c:pt>
                <c:pt idx="147">
                  <c:v>20.27027027027027</c:v>
                </c:pt>
                <c:pt idx="148">
                  <c:v>20.134228187919462</c:v>
                </c:pt>
                <c:pt idx="149">
                  <c:v>20</c:v>
                </c:pt>
                <c:pt idx="150">
                  <c:v>19.867549668874172</c:v>
                </c:pt>
                <c:pt idx="151">
                  <c:v>19.736842105263158</c:v>
                </c:pt>
                <c:pt idx="152">
                  <c:v>19.607843137254903</c:v>
                </c:pt>
                <c:pt idx="153">
                  <c:v>20.129870129870131</c:v>
                </c:pt>
                <c:pt idx="154">
                  <c:v>20</c:v>
                </c:pt>
                <c:pt idx="155">
                  <c:v>19.871794871794872</c:v>
                </c:pt>
                <c:pt idx="156">
                  <c:v>19.745222929936308</c:v>
                </c:pt>
                <c:pt idx="157">
                  <c:v>19.62025316455696</c:v>
                </c:pt>
                <c:pt idx="158">
                  <c:v>19.49685534591195</c:v>
                </c:pt>
                <c:pt idx="159">
                  <c:v>19.375</c:v>
                </c:pt>
                <c:pt idx="160">
                  <c:v>19.875776397515526</c:v>
                </c:pt>
                <c:pt idx="161">
                  <c:v>19.753086419753085</c:v>
                </c:pt>
                <c:pt idx="162">
                  <c:v>19.631901840490798</c:v>
                </c:pt>
                <c:pt idx="163">
                  <c:v>19.512195121951219</c:v>
                </c:pt>
                <c:pt idx="164">
                  <c:v>20</c:v>
                </c:pt>
                <c:pt idx="165">
                  <c:v>19.879518072289155</c:v>
                </c:pt>
                <c:pt idx="166">
                  <c:v>19.760479041916167</c:v>
                </c:pt>
                <c:pt idx="167">
                  <c:v>19.642857142857142</c:v>
                </c:pt>
                <c:pt idx="168">
                  <c:v>19.526627218934912</c:v>
                </c:pt>
                <c:pt idx="169">
                  <c:v>19.411764705882355</c:v>
                </c:pt>
                <c:pt idx="170">
                  <c:v>19.298245614035086</c:v>
                </c:pt>
                <c:pt idx="171">
                  <c:v>19.186046511627907</c:v>
                </c:pt>
                <c:pt idx="172">
                  <c:v>19.075144508670519</c:v>
                </c:pt>
                <c:pt idx="173">
                  <c:v>18.96551724137931</c:v>
                </c:pt>
                <c:pt idx="174">
                  <c:v>18.857142857142858</c:v>
                </c:pt>
                <c:pt idx="175">
                  <c:v>18.75</c:v>
                </c:pt>
                <c:pt idx="176">
                  <c:v>18.64406779661017</c:v>
                </c:pt>
                <c:pt idx="177">
                  <c:v>18.539325842696631</c:v>
                </c:pt>
                <c:pt idx="178">
                  <c:v>18.435754189944134</c:v>
                </c:pt>
                <c:pt idx="179">
                  <c:v>18.888888888888889</c:v>
                </c:pt>
                <c:pt idx="180">
                  <c:v>18.784530386740332</c:v>
                </c:pt>
                <c:pt idx="181">
                  <c:v>18.681318681318682</c:v>
                </c:pt>
                <c:pt idx="182">
                  <c:v>19.125683060109289</c:v>
                </c:pt>
                <c:pt idx="183">
                  <c:v>19.021739130434785</c:v>
                </c:pt>
                <c:pt idx="184">
                  <c:v>18.918918918918919</c:v>
                </c:pt>
                <c:pt idx="185">
                  <c:v>18.817204301075268</c:v>
                </c:pt>
                <c:pt idx="186">
                  <c:v>18.71657754010695</c:v>
                </c:pt>
                <c:pt idx="187">
                  <c:v>18.617021276595743</c:v>
                </c:pt>
                <c:pt idx="188">
                  <c:v>18.518518518518519</c:v>
                </c:pt>
                <c:pt idx="189">
                  <c:v>18.421052631578945</c:v>
                </c:pt>
                <c:pt idx="190">
                  <c:v>18.848167539267017</c:v>
                </c:pt>
                <c:pt idx="191">
                  <c:v>18.75</c:v>
                </c:pt>
                <c:pt idx="192">
                  <c:v>18.652849740932641</c:v>
                </c:pt>
                <c:pt idx="193">
                  <c:v>18.556701030927837</c:v>
                </c:pt>
                <c:pt idx="194">
                  <c:v>18.974358974358974</c:v>
                </c:pt>
                <c:pt idx="195">
                  <c:v>18.877551020408163</c:v>
                </c:pt>
                <c:pt idx="196">
                  <c:v>18.781725888324875</c:v>
                </c:pt>
                <c:pt idx="197">
                  <c:v>18.686868686868689</c:v>
                </c:pt>
                <c:pt idx="198">
                  <c:v>19.095477386934672</c:v>
                </c:pt>
                <c:pt idx="199">
                  <c:v>19</c:v>
                </c:pt>
                <c:pt idx="200">
                  <c:v>18.905472636815919</c:v>
                </c:pt>
                <c:pt idx="201">
                  <c:v>18.811881188118811</c:v>
                </c:pt>
                <c:pt idx="202">
                  <c:v>18.7192118226601</c:v>
                </c:pt>
                <c:pt idx="203">
                  <c:v>18.627450980392158</c:v>
                </c:pt>
                <c:pt idx="204">
                  <c:v>19.024390243902438</c:v>
                </c:pt>
                <c:pt idx="205">
                  <c:v>18.932038834951456</c:v>
                </c:pt>
                <c:pt idx="206">
                  <c:v>18.840579710144929</c:v>
                </c:pt>
                <c:pt idx="207">
                  <c:v>19.230769230769234</c:v>
                </c:pt>
                <c:pt idx="208">
                  <c:v>19.138755980861244</c:v>
                </c:pt>
                <c:pt idx="209">
                  <c:v>19.523809523809526</c:v>
                </c:pt>
                <c:pt idx="210">
                  <c:v>19.431279620853083</c:v>
                </c:pt>
                <c:pt idx="211">
                  <c:v>19.339622641509436</c:v>
                </c:pt>
                <c:pt idx="212">
                  <c:v>19.248826291079812</c:v>
                </c:pt>
                <c:pt idx="213">
                  <c:v>19.158878504672895</c:v>
                </c:pt>
                <c:pt idx="214">
                  <c:v>19.534883720930232</c:v>
                </c:pt>
                <c:pt idx="215">
                  <c:v>19.444444444444446</c:v>
                </c:pt>
                <c:pt idx="216">
                  <c:v>19.35483870967742</c:v>
                </c:pt>
                <c:pt idx="217">
                  <c:v>19.26605504587156</c:v>
                </c:pt>
                <c:pt idx="218">
                  <c:v>19.634703196347029</c:v>
                </c:pt>
                <c:pt idx="219">
                  <c:v>19.545454545454547</c:v>
                </c:pt>
                <c:pt idx="220">
                  <c:v>19.909502262443439</c:v>
                </c:pt>
                <c:pt idx="221">
                  <c:v>19.81981981981982</c:v>
                </c:pt>
                <c:pt idx="222">
                  <c:v>19.730941704035875</c:v>
                </c:pt>
                <c:pt idx="223">
                  <c:v>20.089285714285715</c:v>
                </c:pt>
                <c:pt idx="224">
                  <c:v>20</c:v>
                </c:pt>
                <c:pt idx="225">
                  <c:v>19.911504424778762</c:v>
                </c:pt>
                <c:pt idx="226">
                  <c:v>19.823788546255507</c:v>
                </c:pt>
                <c:pt idx="227">
                  <c:v>19.736842105263158</c:v>
                </c:pt>
                <c:pt idx="228">
                  <c:v>19.650655021834059</c:v>
                </c:pt>
                <c:pt idx="229">
                  <c:v>19.565217391304348</c:v>
                </c:pt>
                <c:pt idx="230">
                  <c:v>19.913419913419915</c:v>
                </c:pt>
                <c:pt idx="231">
                  <c:v>19.827586206896552</c:v>
                </c:pt>
                <c:pt idx="232">
                  <c:v>19.742489270386265</c:v>
                </c:pt>
                <c:pt idx="233">
                  <c:v>19.658119658119659</c:v>
                </c:pt>
                <c:pt idx="234">
                  <c:v>19.574468085106382</c:v>
                </c:pt>
                <c:pt idx="235">
                  <c:v>19.915254237288135</c:v>
                </c:pt>
                <c:pt idx="236">
                  <c:v>19.831223628691983</c:v>
                </c:pt>
                <c:pt idx="237">
                  <c:v>19.747899159663866</c:v>
                </c:pt>
                <c:pt idx="238">
                  <c:v>19.665271966527197</c:v>
                </c:pt>
                <c:pt idx="239">
                  <c:v>19.583333333333332</c:v>
                </c:pt>
                <c:pt idx="240">
                  <c:v>19.502074688796682</c:v>
                </c:pt>
                <c:pt idx="241">
                  <c:v>19.421487603305785</c:v>
                </c:pt>
                <c:pt idx="242">
                  <c:v>19.34156378600823</c:v>
                </c:pt>
                <c:pt idx="243">
                  <c:v>19.262295081967213</c:v>
                </c:pt>
                <c:pt idx="244">
                  <c:v>19.183673469387756</c:v>
                </c:pt>
                <c:pt idx="245">
                  <c:v>19.512195121951219</c:v>
                </c:pt>
                <c:pt idx="246">
                  <c:v>19.4331983805668</c:v>
                </c:pt>
                <c:pt idx="247">
                  <c:v>19.35483870967742</c:v>
                </c:pt>
                <c:pt idx="248">
                  <c:v>19.277108433734941</c:v>
                </c:pt>
                <c:pt idx="249">
                  <c:v>19.2</c:v>
                </c:pt>
                <c:pt idx="250">
                  <c:v>19.123505976095618</c:v>
                </c:pt>
                <c:pt idx="251">
                  <c:v>19.047619047619047</c:v>
                </c:pt>
                <c:pt idx="252">
                  <c:v>19.367588932806324</c:v>
                </c:pt>
                <c:pt idx="253">
                  <c:v>19.291338582677163</c:v>
                </c:pt>
                <c:pt idx="254">
                  <c:v>19.215686274509807</c:v>
                </c:pt>
                <c:pt idx="255">
                  <c:v>19.140625</c:v>
                </c:pt>
                <c:pt idx="256">
                  <c:v>19.066147859922179</c:v>
                </c:pt>
                <c:pt idx="257">
                  <c:v>18.992248062015506</c:v>
                </c:pt>
                <c:pt idx="258">
                  <c:v>18.918918918918919</c:v>
                </c:pt>
                <c:pt idx="259">
                  <c:v>18.846153846153847</c:v>
                </c:pt>
                <c:pt idx="260">
                  <c:v>19.157088122605366</c:v>
                </c:pt>
                <c:pt idx="261">
                  <c:v>19.465648854961831</c:v>
                </c:pt>
                <c:pt idx="262">
                  <c:v>19.391634980988592</c:v>
                </c:pt>
                <c:pt idx="263">
                  <c:v>19.318181818181817</c:v>
                </c:pt>
                <c:pt idx="264">
                  <c:v>19.245283018867926</c:v>
                </c:pt>
                <c:pt idx="265">
                  <c:v>19.172932330827066</c:v>
                </c:pt>
                <c:pt idx="266">
                  <c:v>19.101123595505616</c:v>
                </c:pt>
                <c:pt idx="267">
                  <c:v>19.029850746268657</c:v>
                </c:pt>
                <c:pt idx="268">
                  <c:v>18.959107806691449</c:v>
                </c:pt>
                <c:pt idx="269">
                  <c:v>18.888888888888889</c:v>
                </c:pt>
                <c:pt idx="270">
                  <c:v>19.188191881918819</c:v>
                </c:pt>
                <c:pt idx="271">
                  <c:v>19.117647058823529</c:v>
                </c:pt>
                <c:pt idx="272">
                  <c:v>19.047619047619047</c:v>
                </c:pt>
                <c:pt idx="273">
                  <c:v>18.978102189781019</c:v>
                </c:pt>
                <c:pt idx="274">
                  <c:v>18.90909090909091</c:v>
                </c:pt>
                <c:pt idx="275">
                  <c:v>18.840579710144929</c:v>
                </c:pt>
                <c:pt idx="276">
                  <c:v>18.772563176895307</c:v>
                </c:pt>
                <c:pt idx="277">
                  <c:v>19.064748201438849</c:v>
                </c:pt>
                <c:pt idx="278">
                  <c:v>18.996415770609318</c:v>
                </c:pt>
                <c:pt idx="279">
                  <c:v>18.928571428571427</c:v>
                </c:pt>
                <c:pt idx="280">
                  <c:v>18.861209964412812</c:v>
                </c:pt>
                <c:pt idx="281">
                  <c:v>18.794326241134751</c:v>
                </c:pt>
                <c:pt idx="282">
                  <c:v>18.727915194346288</c:v>
                </c:pt>
                <c:pt idx="283">
                  <c:v>18.661971830985916</c:v>
                </c:pt>
                <c:pt idx="284">
                  <c:v>18.596491228070175</c:v>
                </c:pt>
                <c:pt idx="285">
                  <c:v>18.53146853146853</c:v>
                </c:pt>
                <c:pt idx="286">
                  <c:v>18.815331010452962</c:v>
                </c:pt>
                <c:pt idx="287">
                  <c:v>18.75</c:v>
                </c:pt>
                <c:pt idx="288">
                  <c:v>18.685121107266436</c:v>
                </c:pt>
                <c:pt idx="289">
                  <c:v>18.620689655172416</c:v>
                </c:pt>
                <c:pt idx="290">
                  <c:v>18.556701030927837</c:v>
                </c:pt>
                <c:pt idx="291">
                  <c:v>18.493150684931507</c:v>
                </c:pt>
                <c:pt idx="292">
                  <c:v>18.430034129692832</c:v>
                </c:pt>
                <c:pt idx="293">
                  <c:v>18.367346938775512</c:v>
                </c:pt>
                <c:pt idx="294">
                  <c:v>18.305084745762713</c:v>
                </c:pt>
                <c:pt idx="295">
                  <c:v>18.243243243243242</c:v>
                </c:pt>
                <c:pt idx="296">
                  <c:v>18.181818181818183</c:v>
                </c:pt>
                <c:pt idx="297">
                  <c:v>18.456375838926174</c:v>
                </c:pt>
                <c:pt idx="298">
                  <c:v>18.394648829431436</c:v>
                </c:pt>
                <c:pt idx="299">
                  <c:v>18.333333333333332</c:v>
                </c:pt>
                <c:pt idx="300">
                  <c:v>18.272425249169437</c:v>
                </c:pt>
                <c:pt idx="301">
                  <c:v>18.543046357615893</c:v>
                </c:pt>
                <c:pt idx="302">
                  <c:v>18.811881188118811</c:v>
                </c:pt>
                <c:pt idx="303">
                  <c:v>18.75</c:v>
                </c:pt>
                <c:pt idx="304">
                  <c:v>18.688524590163937</c:v>
                </c:pt>
                <c:pt idx="305">
                  <c:v>18.627450980392158</c:v>
                </c:pt>
                <c:pt idx="306">
                  <c:v>18.892508143322477</c:v>
                </c:pt>
                <c:pt idx="307">
                  <c:v>18.831168831168831</c:v>
                </c:pt>
                <c:pt idx="308">
                  <c:v>18.770226537216828</c:v>
                </c:pt>
                <c:pt idx="309">
                  <c:v>18.70967741935484</c:v>
                </c:pt>
                <c:pt idx="310">
                  <c:v>18.64951768488746</c:v>
                </c:pt>
                <c:pt idx="311">
                  <c:v>18.589743589743591</c:v>
                </c:pt>
                <c:pt idx="312">
                  <c:v>18.530351437699679</c:v>
                </c:pt>
                <c:pt idx="313">
                  <c:v>18.789808917197455</c:v>
                </c:pt>
                <c:pt idx="314">
                  <c:v>19.047619047619047</c:v>
                </c:pt>
                <c:pt idx="315">
                  <c:v>18.9873417721519</c:v>
                </c:pt>
                <c:pt idx="316">
                  <c:v>18.927444794952681</c:v>
                </c:pt>
                <c:pt idx="317">
                  <c:v>18.867924528301888</c:v>
                </c:pt>
                <c:pt idx="318">
                  <c:v>18.808777429467085</c:v>
                </c:pt>
                <c:pt idx="319">
                  <c:v>19.0625</c:v>
                </c:pt>
                <c:pt idx="320">
                  <c:v>19.314641744548286</c:v>
                </c:pt>
                <c:pt idx="321">
                  <c:v>19.254658385093169</c:v>
                </c:pt>
                <c:pt idx="322">
                  <c:v>19.504643962848299</c:v>
                </c:pt>
                <c:pt idx="323">
                  <c:v>19.753086419753085</c:v>
                </c:pt>
                <c:pt idx="324">
                  <c:v>19.692307692307693</c:v>
                </c:pt>
                <c:pt idx="325">
                  <c:v>19.631901840490798</c:v>
                </c:pt>
                <c:pt idx="326">
                  <c:v>19.571865443425075</c:v>
                </c:pt>
                <c:pt idx="327">
                  <c:v>19.512195121951219</c:v>
                </c:pt>
                <c:pt idx="328">
                  <c:v>19.45288753799392</c:v>
                </c:pt>
                <c:pt idx="329">
                  <c:v>19.393939393939394</c:v>
                </c:pt>
                <c:pt idx="330">
                  <c:v>19.335347432024168</c:v>
                </c:pt>
                <c:pt idx="331">
                  <c:v>19.277108433734941</c:v>
                </c:pt>
                <c:pt idx="332">
                  <c:v>19.219219219219219</c:v>
                </c:pt>
                <c:pt idx="333">
                  <c:v>19.161676646706589</c:v>
                </c:pt>
                <c:pt idx="334">
                  <c:v>19.1044776119403</c:v>
                </c:pt>
                <c:pt idx="335">
                  <c:v>19.047619047619047</c:v>
                </c:pt>
                <c:pt idx="336">
                  <c:v>18.991097922848667</c:v>
                </c:pt>
                <c:pt idx="337">
                  <c:v>18.934911242603551</c:v>
                </c:pt>
                <c:pt idx="338">
                  <c:v>18.87905604719764</c:v>
                </c:pt>
                <c:pt idx="339">
                  <c:v>18.823529411764707</c:v>
                </c:pt>
                <c:pt idx="340">
                  <c:v>18.768328445747802</c:v>
                </c:pt>
                <c:pt idx="341">
                  <c:v>18.71345029239766</c:v>
                </c:pt>
                <c:pt idx="342">
                  <c:v>18.658892128279884</c:v>
                </c:pt>
                <c:pt idx="343">
                  <c:v>18.895348837209301</c:v>
                </c:pt>
                <c:pt idx="344">
                  <c:v>18.840579710144929</c:v>
                </c:pt>
                <c:pt idx="345">
                  <c:v>18.786127167630056</c:v>
                </c:pt>
                <c:pt idx="346">
                  <c:v>18.731988472622479</c:v>
                </c:pt>
                <c:pt idx="347">
                  <c:v>18.678160919540229</c:v>
                </c:pt>
                <c:pt idx="348">
                  <c:v>18.911174785100286</c:v>
                </c:pt>
                <c:pt idx="349">
                  <c:v>19.142857142857142</c:v>
                </c:pt>
                <c:pt idx="350">
                  <c:v>19.088319088319089</c:v>
                </c:pt>
                <c:pt idx="351">
                  <c:v>19.03409090909091</c:v>
                </c:pt>
                <c:pt idx="352">
                  <c:v>19.263456090651555</c:v>
                </c:pt>
                <c:pt idx="353">
                  <c:v>19.209039548022599</c:v>
                </c:pt>
                <c:pt idx="354">
                  <c:v>19.154929577464788</c:v>
                </c:pt>
                <c:pt idx="355">
                  <c:v>19.101123595505616</c:v>
                </c:pt>
                <c:pt idx="356">
                  <c:v>19.047619047619047</c:v>
                </c:pt>
                <c:pt idx="357">
                  <c:v>18.994413407821227</c:v>
                </c:pt>
                <c:pt idx="358">
                  <c:v>19.220055710306408</c:v>
                </c:pt>
                <c:pt idx="359">
                  <c:v>19.166666666666668</c:v>
                </c:pt>
                <c:pt idx="360">
                  <c:v>19.390581717451525</c:v>
                </c:pt>
                <c:pt idx="361">
                  <c:v>19.337016574585636</c:v>
                </c:pt>
                <c:pt idx="362">
                  <c:v>19.28374655647383</c:v>
                </c:pt>
                <c:pt idx="363">
                  <c:v>19.230769230769234</c:v>
                </c:pt>
                <c:pt idx="364">
                  <c:v>19.17808219178082</c:v>
                </c:pt>
                <c:pt idx="365">
                  <c:v>19.125683060109289</c:v>
                </c:pt>
                <c:pt idx="366">
                  <c:v>19.073569482288828</c:v>
                </c:pt>
                <c:pt idx="367">
                  <c:v>19.021739130434785</c:v>
                </c:pt>
                <c:pt idx="368">
                  <c:v>18.97018970189702</c:v>
                </c:pt>
                <c:pt idx="369">
                  <c:v>18.918918918918919</c:v>
                </c:pt>
                <c:pt idx="370">
                  <c:v>18.867924528301888</c:v>
                </c:pt>
                <c:pt idx="371">
                  <c:v>18.817204301075268</c:v>
                </c:pt>
                <c:pt idx="372">
                  <c:v>19.034852546916888</c:v>
                </c:pt>
                <c:pt idx="373">
                  <c:v>18.983957219251337</c:v>
                </c:pt>
                <c:pt idx="374">
                  <c:v>18.933333333333334</c:v>
                </c:pt>
                <c:pt idx="375">
                  <c:v>19.148936170212767</c:v>
                </c:pt>
                <c:pt idx="376">
                  <c:v>19.098143236074268</c:v>
                </c:pt>
                <c:pt idx="377">
                  <c:v>19.047619047619047</c:v>
                </c:pt>
                <c:pt idx="378">
                  <c:v>19.261213720316622</c:v>
                </c:pt>
                <c:pt idx="379">
                  <c:v>19.210526315789473</c:v>
                </c:pt>
                <c:pt idx="380">
                  <c:v>19.42257217847769</c:v>
                </c:pt>
                <c:pt idx="381">
                  <c:v>19.3717277486911</c:v>
                </c:pt>
                <c:pt idx="382">
                  <c:v>19.321148825065272</c:v>
                </c:pt>
                <c:pt idx="383">
                  <c:v>19.270833333333336</c:v>
                </c:pt>
                <c:pt idx="384">
                  <c:v>19.220779220779221</c:v>
                </c:pt>
                <c:pt idx="385">
                  <c:v>19.170984455958546</c:v>
                </c:pt>
                <c:pt idx="386">
                  <c:v>19.12144702842377</c:v>
                </c:pt>
                <c:pt idx="387">
                  <c:v>19.072164948453608</c:v>
                </c:pt>
                <c:pt idx="388">
                  <c:v>19.023136246786631</c:v>
                </c:pt>
                <c:pt idx="389">
                  <c:v>18.974358974358974</c:v>
                </c:pt>
                <c:pt idx="390">
                  <c:v>18.925831202046037</c:v>
                </c:pt>
                <c:pt idx="391">
                  <c:v>18.877551020408163</c:v>
                </c:pt>
                <c:pt idx="392">
                  <c:v>18.829516539440203</c:v>
                </c:pt>
                <c:pt idx="393">
                  <c:v>18.781725888324875</c:v>
                </c:pt>
                <c:pt idx="394">
                  <c:v>18.9873417721519</c:v>
                </c:pt>
                <c:pt idx="395">
                  <c:v>18.939393939393938</c:v>
                </c:pt>
                <c:pt idx="396">
                  <c:v>18.89168765743073</c:v>
                </c:pt>
                <c:pt idx="397">
                  <c:v>18.844221105527641</c:v>
                </c:pt>
                <c:pt idx="398">
                  <c:v>18.796992481203006</c:v>
                </c:pt>
                <c:pt idx="399">
                  <c:v>18.75</c:v>
                </c:pt>
                <c:pt idx="400">
                  <c:v>18.703241895261847</c:v>
                </c:pt>
                <c:pt idx="401">
                  <c:v>18.656716417910449</c:v>
                </c:pt>
                <c:pt idx="402">
                  <c:v>18.610421836228287</c:v>
                </c:pt>
                <c:pt idx="403">
                  <c:v>18.564356435643564</c:v>
                </c:pt>
                <c:pt idx="404">
                  <c:v>18.518518518518519</c:v>
                </c:pt>
                <c:pt idx="405">
                  <c:v>18.472906403940886</c:v>
                </c:pt>
                <c:pt idx="406">
                  <c:v>18.427518427518429</c:v>
                </c:pt>
                <c:pt idx="407">
                  <c:v>18.382352941176471</c:v>
                </c:pt>
                <c:pt idx="408">
                  <c:v>18.337408312958438</c:v>
                </c:pt>
                <c:pt idx="409">
                  <c:v>18.292682926829269</c:v>
                </c:pt>
                <c:pt idx="410">
                  <c:v>18.248175182481752</c:v>
                </c:pt>
                <c:pt idx="411">
                  <c:v>18.203883495145632</c:v>
                </c:pt>
                <c:pt idx="412">
                  <c:v>18.159806295399516</c:v>
                </c:pt>
                <c:pt idx="413">
                  <c:v>18.357487922705314</c:v>
                </c:pt>
                <c:pt idx="414">
                  <c:v>18.313253012048193</c:v>
                </c:pt>
                <c:pt idx="415">
                  <c:v>18.269230769230766</c:v>
                </c:pt>
                <c:pt idx="416">
                  <c:v>18.225419664268586</c:v>
                </c:pt>
                <c:pt idx="417">
                  <c:v>18.181818181818183</c:v>
                </c:pt>
                <c:pt idx="418">
                  <c:v>18.138424821002385</c:v>
                </c:pt>
                <c:pt idx="419">
                  <c:v>18.095238095238095</c:v>
                </c:pt>
                <c:pt idx="420">
                  <c:v>18.052256532066508</c:v>
                </c:pt>
                <c:pt idx="421">
                  <c:v>18.009478672985782</c:v>
                </c:pt>
                <c:pt idx="422">
                  <c:v>17.966903073286051</c:v>
                </c:pt>
                <c:pt idx="423">
                  <c:v>17.924528301886792</c:v>
                </c:pt>
                <c:pt idx="424">
                  <c:v>17.882352941176471</c:v>
                </c:pt>
                <c:pt idx="425">
                  <c:v>17.84037558685446</c:v>
                </c:pt>
                <c:pt idx="426">
                  <c:v>17.798594847775178</c:v>
                </c:pt>
                <c:pt idx="427">
                  <c:v>17.75700934579439</c:v>
                </c:pt>
                <c:pt idx="428">
                  <c:v>17.715617715617714</c:v>
                </c:pt>
                <c:pt idx="429">
                  <c:v>17.674418604651162</c:v>
                </c:pt>
                <c:pt idx="430">
                  <c:v>17.865429234338748</c:v>
                </c:pt>
                <c:pt idx="431">
                  <c:v>17.824074074074073</c:v>
                </c:pt>
                <c:pt idx="432">
                  <c:v>17.782909930715935</c:v>
                </c:pt>
                <c:pt idx="433">
                  <c:v>17.972350230414747</c:v>
                </c:pt>
                <c:pt idx="434">
                  <c:v>17.931034482758619</c:v>
                </c:pt>
                <c:pt idx="435">
                  <c:v>17.889908256880734</c:v>
                </c:pt>
                <c:pt idx="436">
                  <c:v>17.848970251716249</c:v>
                </c:pt>
                <c:pt idx="437">
                  <c:v>17.80821917808219</c:v>
                </c:pt>
                <c:pt idx="438">
                  <c:v>17.767653758542139</c:v>
                </c:pt>
                <c:pt idx="439">
                  <c:v>17.727272727272727</c:v>
                </c:pt>
                <c:pt idx="440">
                  <c:v>17.687074829931973</c:v>
                </c:pt>
                <c:pt idx="441">
                  <c:v>17.647058823529413</c:v>
                </c:pt>
                <c:pt idx="442">
                  <c:v>17.607223476297968</c:v>
                </c:pt>
                <c:pt idx="443">
                  <c:v>17.567567567567568</c:v>
                </c:pt>
                <c:pt idx="444">
                  <c:v>17.528089887640448</c:v>
                </c:pt>
                <c:pt idx="445">
                  <c:v>17.488789237668161</c:v>
                </c:pt>
                <c:pt idx="446">
                  <c:v>17.449664429530202</c:v>
                </c:pt>
                <c:pt idx="447">
                  <c:v>17.410714285714285</c:v>
                </c:pt>
                <c:pt idx="448">
                  <c:v>17.371937639198219</c:v>
                </c:pt>
                <c:pt idx="449">
                  <c:v>17.333333333333336</c:v>
                </c:pt>
                <c:pt idx="450">
                  <c:v>17.294900221729488</c:v>
                </c:pt>
                <c:pt idx="451">
                  <c:v>17.256637168141591</c:v>
                </c:pt>
                <c:pt idx="452">
                  <c:v>17.218543046357617</c:v>
                </c:pt>
                <c:pt idx="453">
                  <c:v>17.180616740088105</c:v>
                </c:pt>
                <c:pt idx="454">
                  <c:v>17.142857142857142</c:v>
                </c:pt>
                <c:pt idx="455">
                  <c:v>17.105263157894736</c:v>
                </c:pt>
                <c:pt idx="456">
                  <c:v>17.067833698030636</c:v>
                </c:pt>
                <c:pt idx="457">
                  <c:v>17.248908296943235</c:v>
                </c:pt>
                <c:pt idx="458">
                  <c:v>17.21132897603486</c:v>
                </c:pt>
                <c:pt idx="459">
                  <c:v>17.391304347826086</c:v>
                </c:pt>
                <c:pt idx="460">
                  <c:v>17.35357917570499</c:v>
                </c:pt>
                <c:pt idx="461">
                  <c:v>17.316017316017316</c:v>
                </c:pt>
                <c:pt idx="462">
                  <c:v>17.278617710583152</c:v>
                </c:pt>
                <c:pt idx="463">
                  <c:v>17.241379310344829</c:v>
                </c:pt>
                <c:pt idx="464">
                  <c:v>17.20430107526882</c:v>
                </c:pt>
                <c:pt idx="465">
                  <c:v>17.381974248927037</c:v>
                </c:pt>
                <c:pt idx="466">
                  <c:v>17.344753747323342</c:v>
                </c:pt>
                <c:pt idx="467">
                  <c:v>17.307692307692307</c:v>
                </c:pt>
                <c:pt idx="468">
                  <c:v>17.270788912579956</c:v>
                </c:pt>
                <c:pt idx="469">
                  <c:v>17.446808510638299</c:v>
                </c:pt>
                <c:pt idx="470">
                  <c:v>17.40976645435244</c:v>
                </c:pt>
                <c:pt idx="471">
                  <c:v>17.372881355932204</c:v>
                </c:pt>
                <c:pt idx="472">
                  <c:v>17.336152219873149</c:v>
                </c:pt>
                <c:pt idx="473">
                  <c:v>17.299578059071731</c:v>
                </c:pt>
                <c:pt idx="474">
                  <c:v>17.473684210526315</c:v>
                </c:pt>
                <c:pt idx="475">
                  <c:v>17.436974789915965</c:v>
                </c:pt>
                <c:pt idx="476">
                  <c:v>17.40041928721174</c:v>
                </c:pt>
                <c:pt idx="477">
                  <c:v>17.364016736401673</c:v>
                </c:pt>
                <c:pt idx="478">
                  <c:v>17.32776617954071</c:v>
                </c:pt>
                <c:pt idx="479">
                  <c:v>17.291666666666668</c:v>
                </c:pt>
                <c:pt idx="480">
                  <c:v>17.463617463617464</c:v>
                </c:pt>
                <c:pt idx="481">
                  <c:v>17.427385892116181</c:v>
                </c:pt>
                <c:pt idx="482">
                  <c:v>17.391304347826086</c:v>
                </c:pt>
                <c:pt idx="483">
                  <c:v>17.355371900826448</c:v>
                </c:pt>
                <c:pt idx="484">
                  <c:v>17.319587628865978</c:v>
                </c:pt>
                <c:pt idx="485">
                  <c:v>17.283950617283949</c:v>
                </c:pt>
                <c:pt idx="486">
                  <c:v>17.248459958932237</c:v>
                </c:pt>
                <c:pt idx="487">
                  <c:v>17.418032786885245</c:v>
                </c:pt>
                <c:pt idx="488">
                  <c:v>17.382413087934559</c:v>
                </c:pt>
                <c:pt idx="489">
                  <c:v>17.346938775510203</c:v>
                </c:pt>
                <c:pt idx="490">
                  <c:v>17.311608961303463</c:v>
                </c:pt>
                <c:pt idx="491">
                  <c:v>17.276422764227643</c:v>
                </c:pt>
                <c:pt idx="492">
                  <c:v>17.241379310344829</c:v>
                </c:pt>
                <c:pt idx="493">
                  <c:v>17.20647773279352</c:v>
                </c:pt>
                <c:pt idx="494">
                  <c:v>17.171717171717169</c:v>
                </c:pt>
                <c:pt idx="495">
                  <c:v>17.338709677419356</c:v>
                </c:pt>
                <c:pt idx="496">
                  <c:v>17.303822937625753</c:v>
                </c:pt>
                <c:pt idx="497">
                  <c:v>17.269076305220885</c:v>
                </c:pt>
                <c:pt idx="498">
                  <c:v>17.234468937875754</c:v>
                </c:pt>
                <c:pt idx="499">
                  <c:v>17.399999999999999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C3-4541-AA38-C79BD77F84B4}"/>
            </c:ext>
          </c:extLst>
        </c:ser>
        <c:ser>
          <c:idx val="5"/>
          <c:order val="5"/>
          <c:tx>
            <c:strRef>
              <c:f>Dice!$N$1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Dice!$N$2:$N$501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20</c:v>
                </c:pt>
                <c:pt idx="5">
                  <c:v>16.666666666666664</c:v>
                </c:pt>
                <c:pt idx="6">
                  <c:v>14.285714285714285</c:v>
                </c:pt>
                <c:pt idx="7">
                  <c:v>25</c:v>
                </c:pt>
                <c:pt idx="8">
                  <c:v>22.222222222222221</c:v>
                </c:pt>
                <c:pt idx="9">
                  <c:v>20</c:v>
                </c:pt>
                <c:pt idx="10">
                  <c:v>18.181818181818183</c:v>
                </c:pt>
                <c:pt idx="11">
                  <c:v>16.666666666666664</c:v>
                </c:pt>
                <c:pt idx="12">
                  <c:v>15.384615384615385</c:v>
                </c:pt>
                <c:pt idx="13">
                  <c:v>21.428571428571427</c:v>
                </c:pt>
                <c:pt idx="14">
                  <c:v>20</c:v>
                </c:pt>
                <c:pt idx="15">
                  <c:v>18.75</c:v>
                </c:pt>
                <c:pt idx="16">
                  <c:v>23.52941176470588</c:v>
                </c:pt>
                <c:pt idx="17">
                  <c:v>27.777777777777779</c:v>
                </c:pt>
                <c:pt idx="18">
                  <c:v>26.315789473684209</c:v>
                </c:pt>
                <c:pt idx="19">
                  <c:v>25</c:v>
                </c:pt>
                <c:pt idx="20">
                  <c:v>23.809523809523807</c:v>
                </c:pt>
                <c:pt idx="21">
                  <c:v>22.727272727272727</c:v>
                </c:pt>
                <c:pt idx="22">
                  <c:v>21.739130434782609</c:v>
                </c:pt>
                <c:pt idx="23">
                  <c:v>20.833333333333336</c:v>
                </c:pt>
                <c:pt idx="24">
                  <c:v>20</c:v>
                </c:pt>
                <c:pt idx="25">
                  <c:v>19.230769230769234</c:v>
                </c:pt>
                <c:pt idx="26">
                  <c:v>18.518518518518519</c:v>
                </c:pt>
                <c:pt idx="27">
                  <c:v>17.857142857142858</c:v>
                </c:pt>
                <c:pt idx="28">
                  <c:v>20.689655172413794</c:v>
                </c:pt>
                <c:pt idx="29">
                  <c:v>20</c:v>
                </c:pt>
                <c:pt idx="30">
                  <c:v>19.35483870967742</c:v>
                </c:pt>
                <c:pt idx="31">
                  <c:v>18.75</c:v>
                </c:pt>
                <c:pt idx="32">
                  <c:v>18.181818181818183</c:v>
                </c:pt>
                <c:pt idx="33">
                  <c:v>17.647058823529413</c:v>
                </c:pt>
                <c:pt idx="34">
                  <c:v>17.142857142857142</c:v>
                </c:pt>
                <c:pt idx="35">
                  <c:v>16.666666666666664</c:v>
                </c:pt>
                <c:pt idx="36">
                  <c:v>16.216216216216218</c:v>
                </c:pt>
                <c:pt idx="37">
                  <c:v>15.789473684210526</c:v>
                </c:pt>
                <c:pt idx="38">
                  <c:v>15.384615384615385</c:v>
                </c:pt>
                <c:pt idx="39">
                  <c:v>15</c:v>
                </c:pt>
                <c:pt idx="40">
                  <c:v>17.073170731707318</c:v>
                </c:pt>
                <c:pt idx="41">
                  <c:v>16.666666666666664</c:v>
                </c:pt>
                <c:pt idx="42">
                  <c:v>16.279069767441861</c:v>
                </c:pt>
                <c:pt idx="43">
                  <c:v>15.909090909090908</c:v>
                </c:pt>
                <c:pt idx="44">
                  <c:v>15.555555555555555</c:v>
                </c:pt>
                <c:pt idx="45">
                  <c:v>15.217391304347828</c:v>
                </c:pt>
                <c:pt idx="46">
                  <c:v>14.893617021276595</c:v>
                </c:pt>
                <c:pt idx="47">
                  <c:v>14.583333333333334</c:v>
                </c:pt>
                <c:pt idx="48">
                  <c:v>14.285714285714285</c:v>
                </c:pt>
                <c:pt idx="49">
                  <c:v>14.000000000000002</c:v>
                </c:pt>
                <c:pt idx="50">
                  <c:v>13.725490196078432</c:v>
                </c:pt>
                <c:pt idx="51">
                  <c:v>13.461538461538462</c:v>
                </c:pt>
                <c:pt idx="52">
                  <c:v>13.20754716981132</c:v>
                </c:pt>
                <c:pt idx="53">
                  <c:v>12.962962962962962</c:v>
                </c:pt>
                <c:pt idx="54">
                  <c:v>14.545454545454545</c:v>
                </c:pt>
                <c:pt idx="55">
                  <c:v>14.285714285714285</c:v>
                </c:pt>
                <c:pt idx="56">
                  <c:v>14.035087719298245</c:v>
                </c:pt>
                <c:pt idx="57">
                  <c:v>13.793103448275861</c:v>
                </c:pt>
                <c:pt idx="58">
                  <c:v>13.559322033898304</c:v>
                </c:pt>
                <c:pt idx="59">
                  <c:v>13.333333333333334</c:v>
                </c:pt>
                <c:pt idx="60">
                  <c:v>13.114754098360656</c:v>
                </c:pt>
                <c:pt idx="61">
                  <c:v>12.903225806451612</c:v>
                </c:pt>
                <c:pt idx="62">
                  <c:v>12.698412698412698</c:v>
                </c:pt>
                <c:pt idx="63">
                  <c:v>12.5</c:v>
                </c:pt>
                <c:pt idx="64">
                  <c:v>12.307692307692308</c:v>
                </c:pt>
                <c:pt idx="65">
                  <c:v>13.636363636363635</c:v>
                </c:pt>
                <c:pt idx="66">
                  <c:v>13.432835820895523</c:v>
                </c:pt>
                <c:pt idx="67">
                  <c:v>13.23529411764706</c:v>
                </c:pt>
                <c:pt idx="68">
                  <c:v>13.043478260869565</c:v>
                </c:pt>
                <c:pt idx="69">
                  <c:v>12.857142857142856</c:v>
                </c:pt>
                <c:pt idx="70">
                  <c:v>12.676056338028168</c:v>
                </c:pt>
                <c:pt idx="71">
                  <c:v>12.5</c:v>
                </c:pt>
                <c:pt idx="72">
                  <c:v>12.328767123287671</c:v>
                </c:pt>
                <c:pt idx="73">
                  <c:v>12.162162162162163</c:v>
                </c:pt>
                <c:pt idx="74">
                  <c:v>12</c:v>
                </c:pt>
                <c:pt idx="75">
                  <c:v>11.842105263157894</c:v>
                </c:pt>
                <c:pt idx="76">
                  <c:v>11.688311688311687</c:v>
                </c:pt>
                <c:pt idx="77">
                  <c:v>11.538461538461538</c:v>
                </c:pt>
                <c:pt idx="78">
                  <c:v>11.39240506329114</c:v>
                </c:pt>
                <c:pt idx="79">
                  <c:v>11.25</c:v>
                </c:pt>
                <c:pt idx="80">
                  <c:v>11.111111111111111</c:v>
                </c:pt>
                <c:pt idx="81">
                  <c:v>10.975609756097562</c:v>
                </c:pt>
                <c:pt idx="82">
                  <c:v>12.048192771084338</c:v>
                </c:pt>
                <c:pt idx="83">
                  <c:v>11.904761904761903</c:v>
                </c:pt>
                <c:pt idx="84">
                  <c:v>11.76470588235294</c:v>
                </c:pt>
                <c:pt idx="85">
                  <c:v>11.627906976744185</c:v>
                </c:pt>
                <c:pt idx="86">
                  <c:v>12.643678160919542</c:v>
                </c:pt>
                <c:pt idx="87">
                  <c:v>12.5</c:v>
                </c:pt>
                <c:pt idx="88">
                  <c:v>12.359550561797752</c:v>
                </c:pt>
                <c:pt idx="89">
                  <c:v>12.222222222222221</c:v>
                </c:pt>
                <c:pt idx="90">
                  <c:v>12.087912087912088</c:v>
                </c:pt>
                <c:pt idx="91">
                  <c:v>11.956521739130435</c:v>
                </c:pt>
                <c:pt idx="92">
                  <c:v>12.903225806451612</c:v>
                </c:pt>
                <c:pt idx="93">
                  <c:v>13.829787234042554</c:v>
                </c:pt>
                <c:pt idx="94">
                  <c:v>13.684210526315791</c:v>
                </c:pt>
                <c:pt idx="95">
                  <c:v>13.541666666666666</c:v>
                </c:pt>
                <c:pt idx="96">
                  <c:v>13.402061855670103</c:v>
                </c:pt>
                <c:pt idx="97">
                  <c:v>13.26530612244898</c:v>
                </c:pt>
                <c:pt idx="98">
                  <c:v>13.131313131313133</c:v>
                </c:pt>
                <c:pt idx="99">
                  <c:v>14.000000000000002</c:v>
                </c:pt>
                <c:pt idx="100">
                  <c:v>13.861386138613863</c:v>
                </c:pt>
                <c:pt idx="101">
                  <c:v>13.725490196078432</c:v>
                </c:pt>
                <c:pt idx="102">
                  <c:v>13.592233009708737</c:v>
                </c:pt>
                <c:pt idx="103">
                  <c:v>13.461538461538462</c:v>
                </c:pt>
                <c:pt idx="104">
                  <c:v>13.333333333333334</c:v>
                </c:pt>
                <c:pt idx="105">
                  <c:v>13.20754716981132</c:v>
                </c:pt>
                <c:pt idx="106">
                  <c:v>13.084112149532709</c:v>
                </c:pt>
                <c:pt idx="107">
                  <c:v>12.962962962962962</c:v>
                </c:pt>
                <c:pt idx="108">
                  <c:v>12.844036697247708</c:v>
                </c:pt>
                <c:pt idx="109">
                  <c:v>12.727272727272727</c:v>
                </c:pt>
                <c:pt idx="110">
                  <c:v>12.612612612612612</c:v>
                </c:pt>
                <c:pt idx="111">
                  <c:v>12.5</c:v>
                </c:pt>
                <c:pt idx="112">
                  <c:v>12.389380530973451</c:v>
                </c:pt>
                <c:pt idx="113">
                  <c:v>13.157894736842104</c:v>
                </c:pt>
                <c:pt idx="114">
                  <c:v>13.043478260869565</c:v>
                </c:pt>
                <c:pt idx="115">
                  <c:v>12.931034482758621</c:v>
                </c:pt>
                <c:pt idx="116">
                  <c:v>12.820512820512819</c:v>
                </c:pt>
                <c:pt idx="117">
                  <c:v>12.711864406779661</c:v>
                </c:pt>
                <c:pt idx="118">
                  <c:v>12.605042016806722</c:v>
                </c:pt>
                <c:pt idx="119">
                  <c:v>12.5</c:v>
                </c:pt>
                <c:pt idx="120">
                  <c:v>12.396694214876034</c:v>
                </c:pt>
                <c:pt idx="121">
                  <c:v>12.295081967213115</c:v>
                </c:pt>
                <c:pt idx="122">
                  <c:v>12.195121951219512</c:v>
                </c:pt>
                <c:pt idx="123">
                  <c:v>12.096774193548388</c:v>
                </c:pt>
                <c:pt idx="124">
                  <c:v>12</c:v>
                </c:pt>
                <c:pt idx="125">
                  <c:v>12.698412698412698</c:v>
                </c:pt>
                <c:pt idx="126">
                  <c:v>12.598425196850393</c:v>
                </c:pt>
                <c:pt idx="127">
                  <c:v>12.5</c:v>
                </c:pt>
                <c:pt idx="128">
                  <c:v>12.403100775193799</c:v>
                </c:pt>
                <c:pt idx="129">
                  <c:v>12.307692307692308</c:v>
                </c:pt>
                <c:pt idx="130">
                  <c:v>12.213740458015266</c:v>
                </c:pt>
                <c:pt idx="131">
                  <c:v>12.121212121212121</c:v>
                </c:pt>
                <c:pt idx="132">
                  <c:v>12.781954887218044</c:v>
                </c:pt>
                <c:pt idx="133">
                  <c:v>12.686567164179104</c:v>
                </c:pt>
                <c:pt idx="134">
                  <c:v>12.592592592592592</c:v>
                </c:pt>
                <c:pt idx="135">
                  <c:v>13.23529411764706</c:v>
                </c:pt>
                <c:pt idx="136">
                  <c:v>13.138686131386862</c:v>
                </c:pt>
                <c:pt idx="137">
                  <c:v>13.768115942028986</c:v>
                </c:pt>
                <c:pt idx="138">
                  <c:v>14.388489208633093</c:v>
                </c:pt>
                <c:pt idx="139">
                  <c:v>14.285714285714285</c:v>
                </c:pt>
                <c:pt idx="140">
                  <c:v>14.893617021276595</c:v>
                </c:pt>
                <c:pt idx="141">
                  <c:v>15.492957746478872</c:v>
                </c:pt>
                <c:pt idx="142">
                  <c:v>15.384615384615385</c:v>
                </c:pt>
                <c:pt idx="143">
                  <c:v>15.972222222222221</c:v>
                </c:pt>
                <c:pt idx="144">
                  <c:v>15.862068965517242</c:v>
                </c:pt>
                <c:pt idx="145">
                  <c:v>15.753424657534246</c:v>
                </c:pt>
                <c:pt idx="146">
                  <c:v>16.326530612244898</c:v>
                </c:pt>
                <c:pt idx="147">
                  <c:v>16.216216216216218</c:v>
                </c:pt>
                <c:pt idx="148">
                  <c:v>16.107382550335569</c:v>
                </c:pt>
                <c:pt idx="149">
                  <c:v>16.666666666666664</c:v>
                </c:pt>
                <c:pt idx="150">
                  <c:v>16.556291390728479</c:v>
                </c:pt>
                <c:pt idx="151">
                  <c:v>16.447368421052634</c:v>
                </c:pt>
                <c:pt idx="152">
                  <c:v>16.33986928104575</c:v>
                </c:pt>
                <c:pt idx="153">
                  <c:v>16.233766233766232</c:v>
                </c:pt>
                <c:pt idx="154">
                  <c:v>16.7741935483871</c:v>
                </c:pt>
                <c:pt idx="155">
                  <c:v>16.666666666666664</c:v>
                </c:pt>
                <c:pt idx="156">
                  <c:v>16.560509554140125</c:v>
                </c:pt>
                <c:pt idx="157">
                  <c:v>17.088607594936708</c:v>
                </c:pt>
                <c:pt idx="158">
                  <c:v>16.981132075471699</c:v>
                </c:pt>
                <c:pt idx="159">
                  <c:v>16.875</c:v>
                </c:pt>
                <c:pt idx="160">
                  <c:v>16.770186335403729</c:v>
                </c:pt>
                <c:pt idx="161">
                  <c:v>16.666666666666664</c:v>
                </c:pt>
                <c:pt idx="162">
                  <c:v>16.564417177914109</c:v>
                </c:pt>
                <c:pt idx="163">
                  <c:v>16.463414634146343</c:v>
                </c:pt>
                <c:pt idx="164">
                  <c:v>16.363636363636363</c:v>
                </c:pt>
                <c:pt idx="165">
                  <c:v>16.265060240963855</c:v>
                </c:pt>
                <c:pt idx="166">
                  <c:v>16.167664670658681</c:v>
                </c:pt>
                <c:pt idx="167">
                  <c:v>16.071428571428573</c:v>
                </c:pt>
                <c:pt idx="168">
                  <c:v>15.976331360946746</c:v>
                </c:pt>
                <c:pt idx="169">
                  <c:v>16.470588235294116</c:v>
                </c:pt>
                <c:pt idx="170">
                  <c:v>16.374269005847953</c:v>
                </c:pt>
                <c:pt idx="171">
                  <c:v>16.279069767441861</c:v>
                </c:pt>
                <c:pt idx="172">
                  <c:v>16.76300578034682</c:v>
                </c:pt>
                <c:pt idx="173">
                  <c:v>16.666666666666664</c:v>
                </c:pt>
                <c:pt idx="174">
                  <c:v>16.571428571428569</c:v>
                </c:pt>
                <c:pt idx="175">
                  <c:v>17.045454545454543</c:v>
                </c:pt>
                <c:pt idx="176">
                  <c:v>16.949152542372879</c:v>
                </c:pt>
                <c:pt idx="177">
                  <c:v>16.853932584269664</c:v>
                </c:pt>
                <c:pt idx="178">
                  <c:v>16.759776536312849</c:v>
                </c:pt>
                <c:pt idx="179">
                  <c:v>16.666666666666664</c:v>
                </c:pt>
                <c:pt idx="180">
                  <c:v>16.574585635359114</c:v>
                </c:pt>
                <c:pt idx="181">
                  <c:v>16.483516483516482</c:v>
                </c:pt>
                <c:pt idx="182">
                  <c:v>16.393442622950818</c:v>
                </c:pt>
                <c:pt idx="183">
                  <c:v>16.304347826086957</c:v>
                </c:pt>
                <c:pt idx="184">
                  <c:v>16.216216216216218</c:v>
                </c:pt>
                <c:pt idx="185">
                  <c:v>16.129032258064516</c:v>
                </c:pt>
                <c:pt idx="186">
                  <c:v>16.042780748663102</c:v>
                </c:pt>
                <c:pt idx="187">
                  <c:v>15.957446808510639</c:v>
                </c:pt>
                <c:pt idx="188">
                  <c:v>15.873015873015872</c:v>
                </c:pt>
                <c:pt idx="189">
                  <c:v>16.315789473684212</c:v>
                </c:pt>
                <c:pt idx="190">
                  <c:v>16.230366492146597</c:v>
                </c:pt>
                <c:pt idx="191">
                  <c:v>16.145833333333336</c:v>
                </c:pt>
                <c:pt idx="192">
                  <c:v>16.062176165803109</c:v>
                </c:pt>
                <c:pt idx="193">
                  <c:v>16.494845360824741</c:v>
                </c:pt>
                <c:pt idx="194">
                  <c:v>16.410256410256409</c:v>
                </c:pt>
                <c:pt idx="195">
                  <c:v>16.326530612244898</c:v>
                </c:pt>
                <c:pt idx="196">
                  <c:v>16.243654822335024</c:v>
                </c:pt>
                <c:pt idx="197">
                  <c:v>16.161616161616163</c:v>
                </c:pt>
                <c:pt idx="198">
                  <c:v>16.08040201005025</c:v>
                </c:pt>
                <c:pt idx="199">
                  <c:v>16</c:v>
                </c:pt>
                <c:pt idx="200">
                  <c:v>16.417910447761194</c:v>
                </c:pt>
                <c:pt idx="201">
                  <c:v>16.336633663366339</c:v>
                </c:pt>
                <c:pt idx="202">
                  <c:v>16.256157635467979</c:v>
                </c:pt>
                <c:pt idx="203">
                  <c:v>16.666666666666664</c:v>
                </c:pt>
                <c:pt idx="204">
                  <c:v>16.585365853658537</c:v>
                </c:pt>
                <c:pt idx="205">
                  <c:v>16.50485436893204</c:v>
                </c:pt>
                <c:pt idx="206">
                  <c:v>16.425120772946862</c:v>
                </c:pt>
                <c:pt idx="207">
                  <c:v>16.346153846153847</c:v>
                </c:pt>
                <c:pt idx="208">
                  <c:v>16.267942583732058</c:v>
                </c:pt>
                <c:pt idx="209">
                  <c:v>16.19047619047619</c:v>
                </c:pt>
                <c:pt idx="210">
                  <c:v>16.113744075829384</c:v>
                </c:pt>
                <c:pt idx="211">
                  <c:v>16.037735849056602</c:v>
                </c:pt>
                <c:pt idx="212">
                  <c:v>15.96244131455399</c:v>
                </c:pt>
                <c:pt idx="213">
                  <c:v>16.355140186915886</c:v>
                </c:pt>
                <c:pt idx="214">
                  <c:v>16.279069767441861</c:v>
                </c:pt>
                <c:pt idx="215">
                  <c:v>16.203703703703702</c:v>
                </c:pt>
                <c:pt idx="216">
                  <c:v>16.129032258064516</c:v>
                </c:pt>
                <c:pt idx="217">
                  <c:v>16.055045871559635</c:v>
                </c:pt>
                <c:pt idx="218">
                  <c:v>15.981735159817351</c:v>
                </c:pt>
                <c:pt idx="219">
                  <c:v>15.909090909090908</c:v>
                </c:pt>
                <c:pt idx="220">
                  <c:v>15.837104072398189</c:v>
                </c:pt>
                <c:pt idx="221">
                  <c:v>15.765765765765765</c:v>
                </c:pt>
                <c:pt idx="222">
                  <c:v>15.695067264573993</c:v>
                </c:pt>
                <c:pt idx="223">
                  <c:v>15.625</c:v>
                </c:pt>
                <c:pt idx="224">
                  <c:v>15.555555555555555</c:v>
                </c:pt>
                <c:pt idx="225">
                  <c:v>15.486725663716813</c:v>
                </c:pt>
                <c:pt idx="226">
                  <c:v>15.859030837004406</c:v>
                </c:pt>
                <c:pt idx="227">
                  <c:v>15.789473684210526</c:v>
                </c:pt>
                <c:pt idx="228">
                  <c:v>15.72052401746725</c:v>
                </c:pt>
                <c:pt idx="229">
                  <c:v>15.65217391304348</c:v>
                </c:pt>
                <c:pt idx="230">
                  <c:v>15.584415584415584</c:v>
                </c:pt>
                <c:pt idx="231">
                  <c:v>15.517241379310345</c:v>
                </c:pt>
                <c:pt idx="232">
                  <c:v>15.450643776824036</c:v>
                </c:pt>
                <c:pt idx="233">
                  <c:v>15.384615384615385</c:v>
                </c:pt>
                <c:pt idx="234">
                  <c:v>15.319148936170212</c:v>
                </c:pt>
                <c:pt idx="235">
                  <c:v>15.254237288135593</c:v>
                </c:pt>
                <c:pt idx="236">
                  <c:v>15.18987341772152</c:v>
                </c:pt>
                <c:pt idx="237">
                  <c:v>15.126050420168067</c:v>
                </c:pt>
                <c:pt idx="238">
                  <c:v>15.062761506276152</c:v>
                </c:pt>
                <c:pt idx="239">
                  <c:v>15</c:v>
                </c:pt>
                <c:pt idx="240">
                  <c:v>14.937759336099585</c:v>
                </c:pt>
                <c:pt idx="241">
                  <c:v>14.87603305785124</c:v>
                </c:pt>
                <c:pt idx="242">
                  <c:v>14.814814814814813</c:v>
                </c:pt>
                <c:pt idx="243">
                  <c:v>14.754098360655737</c:v>
                </c:pt>
                <c:pt idx="244">
                  <c:v>14.69387755102041</c:v>
                </c:pt>
                <c:pt idx="245">
                  <c:v>14.634146341463413</c:v>
                </c:pt>
                <c:pt idx="246">
                  <c:v>14.5748987854251</c:v>
                </c:pt>
                <c:pt idx="247">
                  <c:v>14.516129032258066</c:v>
                </c:pt>
                <c:pt idx="248">
                  <c:v>14.457831325301203</c:v>
                </c:pt>
                <c:pt idx="249">
                  <c:v>14.399999999999999</c:v>
                </c:pt>
                <c:pt idx="250">
                  <c:v>14.342629482071715</c:v>
                </c:pt>
                <c:pt idx="251">
                  <c:v>14.682539682539684</c:v>
                </c:pt>
                <c:pt idx="252">
                  <c:v>14.624505928853754</c:v>
                </c:pt>
                <c:pt idx="253">
                  <c:v>14.566929133858267</c:v>
                </c:pt>
                <c:pt idx="254">
                  <c:v>14.509803921568629</c:v>
                </c:pt>
                <c:pt idx="255">
                  <c:v>14.453125</c:v>
                </c:pt>
                <c:pt idx="256">
                  <c:v>14.396887159533073</c:v>
                </c:pt>
                <c:pt idx="257">
                  <c:v>14.34108527131783</c:v>
                </c:pt>
                <c:pt idx="258">
                  <c:v>14.285714285714285</c:v>
                </c:pt>
                <c:pt idx="259">
                  <c:v>14.23076923076923</c:v>
                </c:pt>
                <c:pt idx="260">
                  <c:v>14.17624521072797</c:v>
                </c:pt>
                <c:pt idx="261">
                  <c:v>14.122137404580155</c:v>
                </c:pt>
                <c:pt idx="262">
                  <c:v>14.068441064638785</c:v>
                </c:pt>
                <c:pt idx="263">
                  <c:v>14.015151515151514</c:v>
                </c:pt>
                <c:pt idx="264">
                  <c:v>13.962264150943396</c:v>
                </c:pt>
                <c:pt idx="265">
                  <c:v>13.909774436090224</c:v>
                </c:pt>
                <c:pt idx="266">
                  <c:v>13.857677902621724</c:v>
                </c:pt>
                <c:pt idx="267">
                  <c:v>14.17910447761194</c:v>
                </c:pt>
                <c:pt idx="268">
                  <c:v>14.12639405204461</c:v>
                </c:pt>
                <c:pt idx="269">
                  <c:v>14.444444444444443</c:v>
                </c:pt>
                <c:pt idx="270">
                  <c:v>14.391143911439114</c:v>
                </c:pt>
                <c:pt idx="271">
                  <c:v>14.338235294117647</c:v>
                </c:pt>
                <c:pt idx="272">
                  <c:v>14.285714285714285</c:v>
                </c:pt>
                <c:pt idx="273">
                  <c:v>14.233576642335766</c:v>
                </c:pt>
                <c:pt idx="274">
                  <c:v>14.181818181818182</c:v>
                </c:pt>
                <c:pt idx="275">
                  <c:v>14.130434782608695</c:v>
                </c:pt>
                <c:pt idx="276">
                  <c:v>14.079422382671481</c:v>
                </c:pt>
                <c:pt idx="277">
                  <c:v>14.028776978417264</c:v>
                </c:pt>
                <c:pt idx="278">
                  <c:v>14.336917562724013</c:v>
                </c:pt>
                <c:pt idx="279">
                  <c:v>14.285714285714285</c:v>
                </c:pt>
                <c:pt idx="280">
                  <c:v>14.23487544483986</c:v>
                </c:pt>
                <c:pt idx="281">
                  <c:v>14.184397163120568</c:v>
                </c:pt>
                <c:pt idx="282">
                  <c:v>14.134275618374559</c:v>
                </c:pt>
                <c:pt idx="283">
                  <c:v>14.084507042253522</c:v>
                </c:pt>
                <c:pt idx="284">
                  <c:v>14.385964912280702</c:v>
                </c:pt>
                <c:pt idx="285">
                  <c:v>14.335664335664337</c:v>
                </c:pt>
                <c:pt idx="286">
                  <c:v>14.285714285714285</c:v>
                </c:pt>
                <c:pt idx="287">
                  <c:v>14.583333333333334</c:v>
                </c:pt>
                <c:pt idx="288">
                  <c:v>14.53287197231834</c:v>
                </c:pt>
                <c:pt idx="289">
                  <c:v>14.482758620689657</c:v>
                </c:pt>
                <c:pt idx="290">
                  <c:v>14.776632302405499</c:v>
                </c:pt>
                <c:pt idx="291">
                  <c:v>14.726027397260275</c:v>
                </c:pt>
                <c:pt idx="292">
                  <c:v>14.675767918088736</c:v>
                </c:pt>
                <c:pt idx="293">
                  <c:v>14.625850340136054</c:v>
                </c:pt>
                <c:pt idx="294">
                  <c:v>14.576271186440678</c:v>
                </c:pt>
                <c:pt idx="295">
                  <c:v>14.527027027027026</c:v>
                </c:pt>
                <c:pt idx="296">
                  <c:v>14.478114478114479</c:v>
                </c:pt>
                <c:pt idx="297">
                  <c:v>14.429530201342283</c:v>
                </c:pt>
                <c:pt idx="298">
                  <c:v>14.381270903010032</c:v>
                </c:pt>
                <c:pt idx="299">
                  <c:v>14.333333333333334</c:v>
                </c:pt>
                <c:pt idx="300">
                  <c:v>14.285714285714285</c:v>
                </c:pt>
                <c:pt idx="301">
                  <c:v>14.23841059602649</c:v>
                </c:pt>
                <c:pt idx="302">
                  <c:v>14.19141914191419</c:v>
                </c:pt>
                <c:pt idx="303">
                  <c:v>14.144736842105262</c:v>
                </c:pt>
                <c:pt idx="304">
                  <c:v>14.098360655737704</c:v>
                </c:pt>
                <c:pt idx="305">
                  <c:v>14.052287581699346</c:v>
                </c:pt>
                <c:pt idx="306">
                  <c:v>14.006514657980457</c:v>
                </c:pt>
                <c:pt idx="307">
                  <c:v>13.961038961038961</c:v>
                </c:pt>
                <c:pt idx="308">
                  <c:v>13.915857605177994</c:v>
                </c:pt>
                <c:pt idx="309">
                  <c:v>13.870967741935484</c:v>
                </c:pt>
                <c:pt idx="310">
                  <c:v>13.826366559485532</c:v>
                </c:pt>
                <c:pt idx="311">
                  <c:v>13.782051282051283</c:v>
                </c:pt>
                <c:pt idx="312">
                  <c:v>13.738019169329075</c:v>
                </c:pt>
                <c:pt idx="313">
                  <c:v>13.694267515923567</c:v>
                </c:pt>
                <c:pt idx="314">
                  <c:v>13.65079365079365</c:v>
                </c:pt>
                <c:pt idx="315">
                  <c:v>13.60759493670886</c:v>
                </c:pt>
                <c:pt idx="316">
                  <c:v>13.564668769716087</c:v>
                </c:pt>
                <c:pt idx="317">
                  <c:v>13.836477987421384</c:v>
                </c:pt>
                <c:pt idx="318">
                  <c:v>14.106583072100312</c:v>
                </c:pt>
                <c:pt idx="319">
                  <c:v>14.0625</c:v>
                </c:pt>
                <c:pt idx="320">
                  <c:v>14.018691588785046</c:v>
                </c:pt>
                <c:pt idx="321">
                  <c:v>13.975155279503104</c:v>
                </c:pt>
                <c:pt idx="322">
                  <c:v>13.93188854489164</c:v>
                </c:pt>
                <c:pt idx="323">
                  <c:v>13.888888888888889</c:v>
                </c:pt>
                <c:pt idx="324">
                  <c:v>13.846153846153847</c:v>
                </c:pt>
                <c:pt idx="325">
                  <c:v>14.110429447852759</c:v>
                </c:pt>
                <c:pt idx="326">
                  <c:v>14.067278287461773</c:v>
                </c:pt>
                <c:pt idx="327">
                  <c:v>14.02439024390244</c:v>
                </c:pt>
                <c:pt idx="328">
                  <c:v>13.98176291793313</c:v>
                </c:pt>
                <c:pt idx="329">
                  <c:v>13.939393939393941</c:v>
                </c:pt>
                <c:pt idx="330">
                  <c:v>13.897280966767372</c:v>
                </c:pt>
                <c:pt idx="331">
                  <c:v>13.855421686746988</c:v>
                </c:pt>
                <c:pt idx="332">
                  <c:v>13.813813813813812</c:v>
                </c:pt>
                <c:pt idx="333">
                  <c:v>13.77245508982036</c:v>
                </c:pt>
                <c:pt idx="334">
                  <c:v>13.73134328358209</c:v>
                </c:pt>
                <c:pt idx="335">
                  <c:v>13.690476190476192</c:v>
                </c:pt>
                <c:pt idx="336">
                  <c:v>13.649851632047477</c:v>
                </c:pt>
                <c:pt idx="337">
                  <c:v>13.905325443786982</c:v>
                </c:pt>
                <c:pt idx="338">
                  <c:v>14.159292035398231</c:v>
                </c:pt>
                <c:pt idx="339">
                  <c:v>14.117647058823529</c:v>
                </c:pt>
                <c:pt idx="340">
                  <c:v>14.076246334310852</c:v>
                </c:pt>
                <c:pt idx="341">
                  <c:v>14.327485380116958</c:v>
                </c:pt>
                <c:pt idx="342">
                  <c:v>14.577259475218659</c:v>
                </c:pt>
                <c:pt idx="343">
                  <c:v>14.534883720930234</c:v>
                </c:pt>
                <c:pt idx="344">
                  <c:v>14.782608695652174</c:v>
                </c:pt>
                <c:pt idx="345">
                  <c:v>14.739884393063585</c:v>
                </c:pt>
                <c:pt idx="346">
                  <c:v>14.985590778097983</c:v>
                </c:pt>
                <c:pt idx="347">
                  <c:v>14.942528735632186</c:v>
                </c:pt>
                <c:pt idx="348">
                  <c:v>14.899713467048711</c:v>
                </c:pt>
                <c:pt idx="349">
                  <c:v>14.857142857142858</c:v>
                </c:pt>
                <c:pt idx="350">
                  <c:v>14.814814814814813</c:v>
                </c:pt>
                <c:pt idx="351">
                  <c:v>14.772727272727273</c:v>
                </c:pt>
                <c:pt idx="352">
                  <c:v>14.730878186968837</c:v>
                </c:pt>
                <c:pt idx="353">
                  <c:v>14.689265536723164</c:v>
                </c:pt>
                <c:pt idx="354">
                  <c:v>14.647887323943662</c:v>
                </c:pt>
                <c:pt idx="355">
                  <c:v>14.606741573033707</c:v>
                </c:pt>
                <c:pt idx="356">
                  <c:v>14.845938375350141</c:v>
                </c:pt>
                <c:pt idx="357">
                  <c:v>14.804469273743019</c:v>
                </c:pt>
                <c:pt idx="358">
                  <c:v>14.763231197771587</c:v>
                </c:pt>
                <c:pt idx="359">
                  <c:v>14.722222222222223</c:v>
                </c:pt>
                <c:pt idx="360">
                  <c:v>14.681440443213297</c:v>
                </c:pt>
                <c:pt idx="361">
                  <c:v>14.64088397790055</c:v>
                </c:pt>
                <c:pt idx="362">
                  <c:v>14.87603305785124</c:v>
                </c:pt>
                <c:pt idx="363">
                  <c:v>14.835164835164836</c:v>
                </c:pt>
                <c:pt idx="364">
                  <c:v>14.794520547945206</c:v>
                </c:pt>
                <c:pt idx="365">
                  <c:v>14.754098360655737</c:v>
                </c:pt>
                <c:pt idx="366">
                  <c:v>14.713896457765669</c:v>
                </c:pt>
                <c:pt idx="367">
                  <c:v>14.673913043478262</c:v>
                </c:pt>
                <c:pt idx="368">
                  <c:v>14.634146341463413</c:v>
                </c:pt>
                <c:pt idx="369">
                  <c:v>14.594594594594595</c:v>
                </c:pt>
                <c:pt idx="370">
                  <c:v>14.555256064690028</c:v>
                </c:pt>
                <c:pt idx="371">
                  <c:v>14.78494623655914</c:v>
                </c:pt>
                <c:pt idx="372">
                  <c:v>14.745308310991955</c:v>
                </c:pt>
                <c:pt idx="373">
                  <c:v>14.705882352941178</c:v>
                </c:pt>
                <c:pt idx="374">
                  <c:v>14.666666666666666</c:v>
                </c:pt>
                <c:pt idx="375">
                  <c:v>14.627659574468085</c:v>
                </c:pt>
                <c:pt idx="376">
                  <c:v>14.854111405835543</c:v>
                </c:pt>
                <c:pt idx="377">
                  <c:v>14.814814814814813</c:v>
                </c:pt>
                <c:pt idx="378">
                  <c:v>14.775725593667547</c:v>
                </c:pt>
                <c:pt idx="379">
                  <c:v>14.736842105263156</c:v>
                </c:pt>
                <c:pt idx="380">
                  <c:v>14.698162729658792</c:v>
                </c:pt>
                <c:pt idx="381">
                  <c:v>14.921465968586386</c:v>
                </c:pt>
                <c:pt idx="382">
                  <c:v>14.882506527415144</c:v>
                </c:pt>
                <c:pt idx="383">
                  <c:v>14.84375</c:v>
                </c:pt>
                <c:pt idx="384">
                  <c:v>14.805194805194805</c:v>
                </c:pt>
                <c:pt idx="385">
                  <c:v>14.766839378238341</c:v>
                </c:pt>
                <c:pt idx="386">
                  <c:v>14.987080103359174</c:v>
                </c:pt>
                <c:pt idx="387">
                  <c:v>14.948453608247423</c:v>
                </c:pt>
                <c:pt idx="388">
                  <c:v>14.910025706940875</c:v>
                </c:pt>
                <c:pt idx="389">
                  <c:v>14.871794871794872</c:v>
                </c:pt>
                <c:pt idx="390">
                  <c:v>14.833759590792839</c:v>
                </c:pt>
                <c:pt idx="391">
                  <c:v>14.795918367346939</c:v>
                </c:pt>
                <c:pt idx="392">
                  <c:v>14.758269720101779</c:v>
                </c:pt>
                <c:pt idx="393">
                  <c:v>14.974619289340103</c:v>
                </c:pt>
                <c:pt idx="394">
                  <c:v>14.936708860759493</c:v>
                </c:pt>
                <c:pt idx="395">
                  <c:v>14.898989898989898</c:v>
                </c:pt>
                <c:pt idx="396">
                  <c:v>14.86146095717884</c:v>
                </c:pt>
                <c:pt idx="397">
                  <c:v>15.075376884422109</c:v>
                </c:pt>
                <c:pt idx="398">
                  <c:v>15.037593984962406</c:v>
                </c:pt>
                <c:pt idx="399">
                  <c:v>15</c:v>
                </c:pt>
                <c:pt idx="400">
                  <c:v>14.962593516209477</c:v>
                </c:pt>
                <c:pt idx="401">
                  <c:v>14.925373134328357</c:v>
                </c:pt>
                <c:pt idx="402">
                  <c:v>14.888337468982629</c:v>
                </c:pt>
                <c:pt idx="403">
                  <c:v>14.85148514851485</c:v>
                </c:pt>
                <c:pt idx="404">
                  <c:v>15.06172839506173</c:v>
                </c:pt>
                <c:pt idx="405">
                  <c:v>15.270935960591133</c:v>
                </c:pt>
                <c:pt idx="406">
                  <c:v>15.47911547911548</c:v>
                </c:pt>
                <c:pt idx="407">
                  <c:v>15.441176470588236</c:v>
                </c:pt>
                <c:pt idx="408">
                  <c:v>15.403422982885084</c:v>
                </c:pt>
                <c:pt idx="409">
                  <c:v>15.365853658536585</c:v>
                </c:pt>
                <c:pt idx="410">
                  <c:v>15.328467153284672</c:v>
                </c:pt>
                <c:pt idx="411">
                  <c:v>15.291262135922329</c:v>
                </c:pt>
                <c:pt idx="412">
                  <c:v>15.254237288135593</c:v>
                </c:pt>
                <c:pt idx="413">
                  <c:v>15.217391304347828</c:v>
                </c:pt>
                <c:pt idx="414">
                  <c:v>15.180722891566264</c:v>
                </c:pt>
                <c:pt idx="415">
                  <c:v>15.144230769230768</c:v>
                </c:pt>
                <c:pt idx="416">
                  <c:v>15.107913669064748</c:v>
                </c:pt>
                <c:pt idx="417">
                  <c:v>15.07177033492823</c:v>
                </c:pt>
                <c:pt idx="418">
                  <c:v>15.035799522673033</c:v>
                </c:pt>
                <c:pt idx="419">
                  <c:v>15</c:v>
                </c:pt>
                <c:pt idx="420">
                  <c:v>14.964370546318289</c:v>
                </c:pt>
                <c:pt idx="421">
                  <c:v>15.165876777251185</c:v>
                </c:pt>
                <c:pt idx="422">
                  <c:v>15.366430260047281</c:v>
                </c:pt>
                <c:pt idx="423">
                  <c:v>15.330188679245282</c:v>
                </c:pt>
                <c:pt idx="424">
                  <c:v>15.294117647058824</c:v>
                </c:pt>
                <c:pt idx="425">
                  <c:v>15.492957746478872</c:v>
                </c:pt>
                <c:pt idx="426">
                  <c:v>15.456674473067917</c:v>
                </c:pt>
                <c:pt idx="427">
                  <c:v>15.420560747663551</c:v>
                </c:pt>
                <c:pt idx="428">
                  <c:v>15.384615384615385</c:v>
                </c:pt>
                <c:pt idx="429">
                  <c:v>15.348837209302326</c:v>
                </c:pt>
                <c:pt idx="430">
                  <c:v>15.31322505800464</c:v>
                </c:pt>
                <c:pt idx="431">
                  <c:v>15.277777777777779</c:v>
                </c:pt>
                <c:pt idx="432">
                  <c:v>15.242494226327944</c:v>
                </c:pt>
                <c:pt idx="433">
                  <c:v>15.207373271889402</c:v>
                </c:pt>
                <c:pt idx="434">
                  <c:v>15.172413793103448</c:v>
                </c:pt>
                <c:pt idx="435">
                  <c:v>15.137614678899084</c:v>
                </c:pt>
                <c:pt idx="436">
                  <c:v>15.102974828375288</c:v>
                </c:pt>
                <c:pt idx="437">
                  <c:v>15.068493150684931</c:v>
                </c:pt>
                <c:pt idx="438">
                  <c:v>15.034168564920272</c:v>
                </c:pt>
                <c:pt idx="439">
                  <c:v>15</c:v>
                </c:pt>
                <c:pt idx="440">
                  <c:v>15.192743764172336</c:v>
                </c:pt>
                <c:pt idx="441">
                  <c:v>15.158371040723981</c:v>
                </c:pt>
                <c:pt idx="442">
                  <c:v>15.124153498871332</c:v>
                </c:pt>
                <c:pt idx="443">
                  <c:v>15.090090090090092</c:v>
                </c:pt>
                <c:pt idx="444">
                  <c:v>15.056179775280897</c:v>
                </c:pt>
                <c:pt idx="445">
                  <c:v>15.246636771300448</c:v>
                </c:pt>
                <c:pt idx="446">
                  <c:v>15.212527964205815</c:v>
                </c:pt>
                <c:pt idx="447">
                  <c:v>15.178571428571427</c:v>
                </c:pt>
                <c:pt idx="448">
                  <c:v>15.367483296213807</c:v>
                </c:pt>
                <c:pt idx="449">
                  <c:v>15.333333333333332</c:v>
                </c:pt>
                <c:pt idx="450">
                  <c:v>15.521064301552107</c:v>
                </c:pt>
                <c:pt idx="451">
                  <c:v>15.486725663716813</c:v>
                </c:pt>
                <c:pt idx="452">
                  <c:v>15.452538631346579</c:v>
                </c:pt>
                <c:pt idx="453">
                  <c:v>15.418502202643172</c:v>
                </c:pt>
                <c:pt idx="454">
                  <c:v>15.384615384615385</c:v>
                </c:pt>
                <c:pt idx="455">
                  <c:v>15.350877192982457</c:v>
                </c:pt>
                <c:pt idx="456">
                  <c:v>15.317286652078774</c:v>
                </c:pt>
                <c:pt idx="457">
                  <c:v>15.283842794759824</c:v>
                </c:pt>
                <c:pt idx="458">
                  <c:v>15.250544662309368</c:v>
                </c:pt>
                <c:pt idx="459">
                  <c:v>15.217391304347828</c:v>
                </c:pt>
                <c:pt idx="460">
                  <c:v>15.184381778741866</c:v>
                </c:pt>
                <c:pt idx="461">
                  <c:v>15.151515151515152</c:v>
                </c:pt>
                <c:pt idx="462">
                  <c:v>15.118790496760258</c:v>
                </c:pt>
                <c:pt idx="463">
                  <c:v>15.086206896551724</c:v>
                </c:pt>
                <c:pt idx="464">
                  <c:v>15.053763440860216</c:v>
                </c:pt>
                <c:pt idx="465">
                  <c:v>15.021459227467812</c:v>
                </c:pt>
                <c:pt idx="466">
                  <c:v>14.989293361884368</c:v>
                </c:pt>
                <c:pt idx="467">
                  <c:v>15.17094017094017</c:v>
                </c:pt>
                <c:pt idx="468">
                  <c:v>15.13859275053305</c:v>
                </c:pt>
                <c:pt idx="469">
                  <c:v>15.106382978723405</c:v>
                </c:pt>
                <c:pt idx="470">
                  <c:v>15.286624203821656</c:v>
                </c:pt>
                <c:pt idx="471">
                  <c:v>15.254237288135593</c:v>
                </c:pt>
                <c:pt idx="472">
                  <c:v>15.221987315010571</c:v>
                </c:pt>
                <c:pt idx="473">
                  <c:v>15.400843881856542</c:v>
                </c:pt>
                <c:pt idx="474">
                  <c:v>15.368421052631579</c:v>
                </c:pt>
                <c:pt idx="475">
                  <c:v>15.336134453781513</c:v>
                </c:pt>
                <c:pt idx="476">
                  <c:v>15.513626834381553</c:v>
                </c:pt>
                <c:pt idx="477">
                  <c:v>15.481171548117153</c:v>
                </c:pt>
                <c:pt idx="478">
                  <c:v>15.44885177453027</c:v>
                </c:pt>
                <c:pt idx="479">
                  <c:v>15.416666666666668</c:v>
                </c:pt>
                <c:pt idx="480">
                  <c:v>15.384615384615385</c:v>
                </c:pt>
                <c:pt idx="481">
                  <c:v>15.560165975103734</c:v>
                </c:pt>
                <c:pt idx="482">
                  <c:v>15.527950310559005</c:v>
                </c:pt>
                <c:pt idx="483">
                  <c:v>15.495867768595042</c:v>
                </c:pt>
                <c:pt idx="484">
                  <c:v>15.463917525773196</c:v>
                </c:pt>
                <c:pt idx="485">
                  <c:v>15.432098765432098</c:v>
                </c:pt>
                <c:pt idx="486">
                  <c:v>15.400410677618071</c:v>
                </c:pt>
                <c:pt idx="487">
                  <c:v>15.368852459016393</c:v>
                </c:pt>
                <c:pt idx="488">
                  <c:v>15.337423312883436</c:v>
                </c:pt>
                <c:pt idx="489">
                  <c:v>15.510204081632653</c:v>
                </c:pt>
                <c:pt idx="490">
                  <c:v>15.478615071283095</c:v>
                </c:pt>
                <c:pt idx="491">
                  <c:v>15.650406504065039</c:v>
                </c:pt>
                <c:pt idx="492">
                  <c:v>15.618661257606492</c:v>
                </c:pt>
                <c:pt idx="493">
                  <c:v>15.587044534412955</c:v>
                </c:pt>
                <c:pt idx="494">
                  <c:v>15.555555555555555</c:v>
                </c:pt>
                <c:pt idx="495">
                  <c:v>15.524193548387096</c:v>
                </c:pt>
                <c:pt idx="496">
                  <c:v>15.492957746478872</c:v>
                </c:pt>
                <c:pt idx="497">
                  <c:v>15.461847389558233</c:v>
                </c:pt>
                <c:pt idx="498">
                  <c:v>15.430861723446892</c:v>
                </c:pt>
                <c:pt idx="499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C3-4541-AA38-C79BD77F8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921464"/>
        <c:axId val="508927368"/>
      </c:lineChart>
      <c:catAx>
        <c:axId val="508921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27368"/>
        <c:crosses val="autoZero"/>
        <c:auto val="1"/>
        <c:lblAlgn val="ctr"/>
        <c:lblOffset val="100"/>
        <c:noMultiLvlLbl val="0"/>
      </c:catAx>
      <c:valAx>
        <c:axId val="508927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21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'Uniform Arrivals and Service'!$E$1</c:f>
              <c:strCache>
                <c:ptCount val="1"/>
                <c:pt idx="0">
                  <c:v>Customer Waiting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'Uniform Arrivals and Service'!$E$2:$E$30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63-4B3D-B255-1487C04187E6}"/>
            </c:ext>
          </c:extLst>
        </c:ser>
        <c:ser>
          <c:idx val="1"/>
          <c:order val="1"/>
          <c:tx>
            <c:strRef>
              <c:f>'Uniform Arrivals and Service'!$F$1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'Uniform Arrivals and Service'!$F$2:$F$30</c:f>
              <c:numCache>
                <c:formatCode>General</c:formatCode>
                <c:ptCount val="29"/>
                <c:pt idx="0">
                  <c:v>3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7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8</c:v>
                </c:pt>
                <c:pt idx="11">
                  <c:v>4</c:v>
                </c:pt>
                <c:pt idx="12">
                  <c:v>6</c:v>
                </c:pt>
                <c:pt idx="13">
                  <c:v>2</c:v>
                </c:pt>
                <c:pt idx="14">
                  <c:v>8</c:v>
                </c:pt>
                <c:pt idx="15">
                  <c:v>7</c:v>
                </c:pt>
                <c:pt idx="16">
                  <c:v>4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3</c:v>
                </c:pt>
                <c:pt idx="21">
                  <c:v>6</c:v>
                </c:pt>
                <c:pt idx="22">
                  <c:v>5</c:v>
                </c:pt>
                <c:pt idx="23">
                  <c:v>7</c:v>
                </c:pt>
                <c:pt idx="24">
                  <c:v>4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63-4B3D-B255-1487C0418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222479"/>
        <c:axId val="489452223"/>
      </c:lineChart>
      <c:catAx>
        <c:axId val="308222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52223"/>
        <c:crosses val="autoZero"/>
        <c:auto val="1"/>
        <c:lblAlgn val="ctr"/>
        <c:lblOffset val="100"/>
        <c:noMultiLvlLbl val="0"/>
      </c:catAx>
      <c:valAx>
        <c:axId val="48945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22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177800</xdr:colOff>
      <xdr:row>16</xdr:row>
      <xdr:rowOff>170541</xdr:rowOff>
    </xdr:from>
    <xdr:to>
      <xdr:col>15</xdr:col>
      <xdr:colOff>417285</xdr:colOff>
      <xdr:row>31</xdr:row>
      <xdr:rowOff>137885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54CD2B-E2CE-451A-8405-B6EB747D7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272143</xdr:colOff>
      <xdr:row>33</xdr:row>
      <xdr:rowOff>6532</xdr:rowOff>
    </xdr:from>
    <xdr:to>
      <xdr:col>15</xdr:col>
      <xdr:colOff>485503</xdr:colOff>
      <xdr:row>47</xdr:row>
      <xdr:rowOff>157480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C0421D-9226-40C3-B1A0-4B93544B8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681037</xdr:colOff>
      <xdr:row>15</xdr:row>
      <xdr:rowOff>442912</xdr:rowOff>
    </xdr:from>
    <xdr:to>
      <xdr:col>16</xdr:col>
      <xdr:colOff>319087</xdr:colOff>
      <xdr:row>28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C69C12-ABED-4202-A3B1-5E74DA103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695325</xdr:colOff>
      <xdr:row>29</xdr:row>
      <xdr:rowOff>76200</xdr:rowOff>
    </xdr:from>
    <xdr:to>
      <xdr:col>16</xdr:col>
      <xdr:colOff>333375</xdr:colOff>
      <xdr:row>43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33D85E-C6C5-410C-9B1B-26FFE5F1E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681037</xdr:colOff>
      <xdr:row>15</xdr:row>
      <xdr:rowOff>442912</xdr:rowOff>
    </xdr:from>
    <xdr:to>
      <xdr:col>16</xdr:col>
      <xdr:colOff>319087</xdr:colOff>
      <xdr:row>28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9B01F-0F62-4B1D-B1A9-98B7A0D03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695325</xdr:colOff>
      <xdr:row>29</xdr:row>
      <xdr:rowOff>76200</xdr:rowOff>
    </xdr:from>
    <xdr:to>
      <xdr:col>16</xdr:col>
      <xdr:colOff>333375</xdr:colOff>
      <xdr:row>43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BEE7FD-DC0E-4F01-B14C-4FE6FEDD5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17</xdr:row>
      <xdr:rowOff>57150</xdr:rowOff>
    </xdr:from>
    <xdr:to>
      <xdr:col>15</xdr:col>
      <xdr:colOff>571500</xdr:colOff>
      <xdr:row>32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41B49-745B-4414-BA15-9C0A02C35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16</xdr:col>
      <xdr:colOff>304800</xdr:colOff>
      <xdr:row>58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93E3E9-D986-44EC-936A-F220C3A32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138953</xdr:colOff>
      <xdr:row>9</xdr:row>
      <xdr:rowOff>134471</xdr:rowOff>
    </xdr:from>
    <xdr:to>
      <xdr:col>14</xdr:col>
      <xdr:colOff>443753</xdr:colOff>
      <xdr:row>25</xdr:row>
      <xdr:rowOff>8965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66EEFF-E9D8-42FA-83BB-B554AE55A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517071</xdr:colOff>
      <xdr:row>4</xdr:row>
      <xdr:rowOff>111577</xdr:rowOff>
    </xdr:from>
    <xdr:to>
      <xdr:col>29</xdr:col>
      <xdr:colOff>176893</xdr:colOff>
      <xdr:row>33</xdr:row>
      <xdr:rowOff>176892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F61DF5-5390-4277-B02C-0269AB0A9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403860</xdr:colOff>
      <xdr:row>4</xdr:row>
      <xdr:rowOff>19050</xdr:rowOff>
    </xdr:from>
    <xdr:to>
      <xdr:col>20</xdr:col>
      <xdr:colOff>99060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D50A5F-BE9D-4E54-8510-1B2CF66B2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C21F-C3A8-4744-A7B0-EE3A3F85E05D}">
  <dimension ref="A1:I14"/>
  <sheetViews>
    <sheetView tabSelected="1" workbookViewId="0">
      <selection activeCell="A9" sqref="A9:F14"/>
    </sheetView>
  </sheetViews>
  <sheetFormatPr defaultRowHeight="14.4" x14ac:dyDescent="0.3"/>
  <sheetData>
    <row r="1" spans="1:9" ht="43.2" x14ac:dyDescent="0.3">
      <c r="A1" s="1" t="s">
        <v>5</v>
      </c>
      <c r="B1" s="3" t="s">
        <v>0</v>
      </c>
      <c r="C1" s="3" t="s">
        <v>1</v>
      </c>
      <c r="D1" s="3" t="s">
        <v>2</v>
      </c>
      <c r="E1" s="3" t="s">
        <v>6</v>
      </c>
      <c r="F1" s="4" t="s">
        <v>3</v>
      </c>
      <c r="G1" s="2"/>
      <c r="H1" s="2"/>
      <c r="I1" s="2"/>
    </row>
    <row r="2" spans="1:9" x14ac:dyDescent="0.3">
      <c r="A2" s="1">
        <v>3</v>
      </c>
      <c r="B2" s="6">
        <f>A2</f>
        <v>3</v>
      </c>
      <c r="C2" s="1">
        <v>4</v>
      </c>
      <c r="D2" s="6">
        <f>B2+C2</f>
        <v>7</v>
      </c>
      <c r="E2" s="6">
        <f>B2-A2</f>
        <v>0</v>
      </c>
      <c r="F2" s="6">
        <f>A2</f>
        <v>3</v>
      </c>
      <c r="G2" s="2"/>
      <c r="H2" s="2"/>
      <c r="I2" s="2"/>
    </row>
    <row r="3" spans="1:9" x14ac:dyDescent="0.3">
      <c r="A3" s="1">
        <v>8</v>
      </c>
      <c r="B3" s="6">
        <f>MAX(A3,D2)</f>
        <v>8</v>
      </c>
      <c r="C3" s="1">
        <v>7</v>
      </c>
      <c r="D3" s="6">
        <f>B3+C3</f>
        <v>15</v>
      </c>
      <c r="E3" s="6">
        <f>B3-A3</f>
        <v>0</v>
      </c>
      <c r="F3" s="6">
        <f>B3-D2</f>
        <v>1</v>
      </c>
      <c r="G3" s="2"/>
      <c r="H3" s="2"/>
      <c r="I3" s="2"/>
    </row>
    <row r="4" spans="1:9" x14ac:dyDescent="0.3">
      <c r="A4" s="1">
        <v>13</v>
      </c>
      <c r="B4" s="6">
        <f t="shared" ref="B4:B6" si="0">MAX(A4,D3)</f>
        <v>15</v>
      </c>
      <c r="C4" s="1">
        <v>3</v>
      </c>
      <c r="D4" s="6">
        <f>B4+C4</f>
        <v>18</v>
      </c>
      <c r="E4" s="6">
        <f t="shared" ref="E4:E6" si="1">B4-A4</f>
        <v>2</v>
      </c>
      <c r="F4" s="6">
        <f t="shared" ref="F4:F6" si="2">B4-D3</f>
        <v>0</v>
      </c>
      <c r="G4" s="2"/>
      <c r="H4" s="2"/>
      <c r="I4" s="2"/>
    </row>
    <row r="5" spans="1:9" x14ac:dyDescent="0.3">
      <c r="A5" s="5">
        <v>19</v>
      </c>
      <c r="B5" s="6">
        <f t="shared" si="0"/>
        <v>19</v>
      </c>
      <c r="C5" s="1">
        <v>9</v>
      </c>
      <c r="D5" s="6">
        <f t="shared" ref="D5:D6" si="3">B5+C5</f>
        <v>28</v>
      </c>
      <c r="E5" s="6">
        <f t="shared" si="1"/>
        <v>0</v>
      </c>
      <c r="F5" s="6">
        <f t="shared" si="2"/>
        <v>1</v>
      </c>
      <c r="G5" s="2"/>
      <c r="H5" s="2"/>
      <c r="I5" s="2"/>
    </row>
    <row r="6" spans="1:9" x14ac:dyDescent="0.3">
      <c r="A6" s="5">
        <v>22</v>
      </c>
      <c r="B6" s="6">
        <f t="shared" si="0"/>
        <v>28</v>
      </c>
      <c r="C6" s="1">
        <v>11</v>
      </c>
      <c r="D6" s="6">
        <f t="shared" si="3"/>
        <v>39</v>
      </c>
      <c r="E6" s="6">
        <f t="shared" si="1"/>
        <v>6</v>
      </c>
      <c r="F6" s="6">
        <f t="shared" si="2"/>
        <v>0</v>
      </c>
      <c r="G6" s="2"/>
      <c r="H6" s="2"/>
      <c r="I6" s="2"/>
    </row>
    <row r="7" spans="1:9" x14ac:dyDescent="0.3">
      <c r="A7" s="1"/>
      <c r="B7" s="1"/>
      <c r="C7" s="1"/>
      <c r="D7" s="1"/>
      <c r="E7" s="1"/>
      <c r="F7" s="1"/>
      <c r="G7" s="2"/>
      <c r="H7" s="2"/>
      <c r="I7" s="2"/>
    </row>
    <row r="9" spans="1:9" ht="43.2" x14ac:dyDescent="0.3">
      <c r="A9" s="1" t="s">
        <v>5</v>
      </c>
      <c r="B9" s="3" t="s">
        <v>0</v>
      </c>
      <c r="C9" s="3" t="s">
        <v>1</v>
      </c>
      <c r="D9" s="3" t="s">
        <v>2</v>
      </c>
      <c r="E9" s="3" t="s">
        <v>6</v>
      </c>
      <c r="F9" s="4" t="s">
        <v>3</v>
      </c>
    </row>
    <row r="10" spans="1:9" x14ac:dyDescent="0.3">
      <c r="A10" s="1">
        <v>4</v>
      </c>
      <c r="B10" s="6">
        <f>A10</f>
        <v>4</v>
      </c>
      <c r="C10" s="1">
        <v>3</v>
      </c>
      <c r="D10" s="6">
        <f>B10+C10</f>
        <v>7</v>
      </c>
      <c r="E10" s="6">
        <f>B10-A10</f>
        <v>0</v>
      </c>
      <c r="F10" s="6">
        <f>A10</f>
        <v>4</v>
      </c>
    </row>
    <row r="11" spans="1:9" x14ac:dyDescent="0.3">
      <c r="A11" s="1">
        <v>6</v>
      </c>
      <c r="B11" s="6">
        <f>MAX(A11,D10)</f>
        <v>7</v>
      </c>
      <c r="C11" s="1">
        <v>3</v>
      </c>
      <c r="D11" s="6">
        <f>B11+C11</f>
        <v>10</v>
      </c>
      <c r="E11" s="6">
        <f>B11-A11</f>
        <v>1</v>
      </c>
      <c r="F11" s="6">
        <f>B11-D10</f>
        <v>0</v>
      </c>
    </row>
    <row r="12" spans="1:9" x14ac:dyDescent="0.3">
      <c r="A12" s="1">
        <v>12</v>
      </c>
      <c r="B12" s="6">
        <f t="shared" ref="B12:B14" si="4">MAX(A12,D11)</f>
        <v>12</v>
      </c>
      <c r="C12" s="1">
        <v>4</v>
      </c>
      <c r="D12" s="6">
        <f>B12+C12</f>
        <v>16</v>
      </c>
      <c r="E12" s="6">
        <f t="shared" ref="E12:E14" si="5">B12-A12</f>
        <v>0</v>
      </c>
      <c r="F12" s="6">
        <f t="shared" ref="F12:F14" si="6">B12-D11</f>
        <v>2</v>
      </c>
    </row>
    <row r="13" spans="1:9" x14ac:dyDescent="0.3">
      <c r="A13" s="5">
        <v>14</v>
      </c>
      <c r="B13" s="6">
        <f t="shared" si="4"/>
        <v>16</v>
      </c>
      <c r="C13" s="1">
        <v>2</v>
      </c>
      <c r="D13" s="6">
        <f t="shared" ref="D13:D14" si="7">B13+C13</f>
        <v>18</v>
      </c>
      <c r="E13" s="6">
        <f t="shared" si="5"/>
        <v>2</v>
      </c>
      <c r="F13" s="6">
        <f t="shared" si="6"/>
        <v>0</v>
      </c>
    </row>
    <row r="14" spans="1:9" x14ac:dyDescent="0.3">
      <c r="A14" s="5">
        <v>17</v>
      </c>
      <c r="B14" s="6">
        <f t="shared" si="4"/>
        <v>18</v>
      </c>
      <c r="C14" s="1">
        <v>3</v>
      </c>
      <c r="D14" s="6">
        <f t="shared" si="7"/>
        <v>21</v>
      </c>
      <c r="E14" s="6">
        <f t="shared" si="5"/>
        <v>1</v>
      </c>
      <c r="F14" s="6">
        <f t="shared" si="6"/>
        <v>0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79C5-80C2-46B0-8756-866081FE8E37}">
  <dimension ref="B2:U162"/>
  <sheetViews>
    <sheetView zoomScale="76" zoomScaleNormal="10" workbookViewId="0">
      <selection activeCell="J6" sqref="J6"/>
    </sheetView>
  </sheetViews>
  <sheetFormatPr defaultRowHeight="14.4" x14ac:dyDescent="0.3"/>
  <cols>
    <col min="1" max="1" width="16.33203125" customWidth="1"/>
    <col min="10" max="10" width="19.109375" customWidth="1"/>
  </cols>
  <sheetData>
    <row r="2" spans="2:21" ht="15" thickBot="1" x14ac:dyDescent="0.35">
      <c r="J2" t="s">
        <v>8</v>
      </c>
      <c r="K2" t="s">
        <v>7</v>
      </c>
      <c r="M2" t="s">
        <v>1</v>
      </c>
      <c r="N2" t="s">
        <v>7</v>
      </c>
    </row>
    <row r="3" spans="2:21" ht="15" thickBot="1" x14ac:dyDescent="0.35">
      <c r="J3">
        <v>8</v>
      </c>
      <c r="K3">
        <v>0.2</v>
      </c>
      <c r="M3" s="7">
        <v>7</v>
      </c>
      <c r="N3">
        <v>0.3</v>
      </c>
      <c r="Q3">
        <v>0</v>
      </c>
      <c r="R3">
        <v>8</v>
      </c>
      <c r="T3">
        <v>0</v>
      </c>
      <c r="U3" s="7">
        <v>7</v>
      </c>
    </row>
    <row r="4" spans="2:21" ht="15" thickBot="1" x14ac:dyDescent="0.35">
      <c r="B4" s="7"/>
      <c r="C4" s="8"/>
      <c r="D4" s="8"/>
      <c r="E4" s="8"/>
      <c r="F4" s="8"/>
      <c r="G4" s="8"/>
      <c r="H4" s="9"/>
      <c r="J4">
        <v>12</v>
      </c>
      <c r="K4">
        <v>0.4</v>
      </c>
      <c r="M4" s="8">
        <v>11</v>
      </c>
      <c r="N4">
        <v>0.2</v>
      </c>
      <c r="Q4">
        <f>SUM(K$3:$K3)</f>
        <v>0.2</v>
      </c>
      <c r="R4">
        <v>12</v>
      </c>
      <c r="T4">
        <f>SUM($N$3:N3)</f>
        <v>0.3</v>
      </c>
      <c r="U4" s="8">
        <v>11</v>
      </c>
    </row>
    <row r="5" spans="2:21" x14ac:dyDescent="0.3">
      <c r="J5">
        <v>16</v>
      </c>
      <c r="K5">
        <v>0.2</v>
      </c>
      <c r="M5" s="8">
        <v>15</v>
      </c>
      <c r="N5">
        <v>0.1</v>
      </c>
      <c r="Q5">
        <f>SUM(K$3:$K4)</f>
        <v>0.60000000000000009</v>
      </c>
      <c r="R5">
        <v>16</v>
      </c>
      <c r="T5">
        <f>SUM($N$3:N4)</f>
        <v>0.5</v>
      </c>
      <c r="U5" s="8">
        <v>15</v>
      </c>
    </row>
    <row r="6" spans="2:21" x14ac:dyDescent="0.3">
      <c r="J6">
        <v>20</v>
      </c>
      <c r="K6">
        <v>0.2</v>
      </c>
      <c r="M6" s="8">
        <v>18</v>
      </c>
      <c r="N6">
        <v>0.15</v>
      </c>
      <c r="Q6">
        <f>SUM(K$3:$K5)</f>
        <v>0.8</v>
      </c>
      <c r="R6">
        <v>20</v>
      </c>
      <c r="T6">
        <f>SUM($N$3:N5)</f>
        <v>0.6</v>
      </c>
      <c r="U6" s="8">
        <v>18</v>
      </c>
    </row>
    <row r="7" spans="2:21" x14ac:dyDescent="0.3">
      <c r="M7" s="8">
        <v>20</v>
      </c>
      <c r="N7">
        <v>0.15</v>
      </c>
      <c r="Q7">
        <f>SUM(K$3:$K6)</f>
        <v>1</v>
      </c>
      <c r="R7" s="8"/>
      <c r="T7">
        <f>SUM($N$3:N6)</f>
        <v>0.75</v>
      </c>
      <c r="U7" s="8">
        <v>20</v>
      </c>
    </row>
    <row r="8" spans="2:21" ht="15" thickBot="1" x14ac:dyDescent="0.35">
      <c r="M8" s="8">
        <v>22</v>
      </c>
      <c r="N8">
        <v>0.05</v>
      </c>
      <c r="R8" s="8"/>
      <c r="T8">
        <f>SUM($N$3:N7)</f>
        <v>0.9</v>
      </c>
      <c r="U8" s="8">
        <v>22</v>
      </c>
    </row>
    <row r="9" spans="2:21" ht="15" thickBot="1" x14ac:dyDescent="0.35">
      <c r="B9" s="7"/>
      <c r="C9" s="8"/>
      <c r="D9" s="8"/>
      <c r="E9" s="8"/>
      <c r="F9" s="8"/>
      <c r="G9" s="8"/>
      <c r="H9" s="9"/>
      <c r="J9">
        <f>J3*K3+J4*K4+J5*K5+J6*K6</f>
        <v>13.600000000000001</v>
      </c>
      <c r="M9" s="9">
        <v>24</v>
      </c>
      <c r="N9">
        <v>0.05</v>
      </c>
      <c r="R9" s="9"/>
      <c r="T9">
        <f>SUM($N$3:N8)</f>
        <v>0.95000000000000007</v>
      </c>
      <c r="U9" s="9">
        <v>24</v>
      </c>
    </row>
    <row r="10" spans="2:21" x14ac:dyDescent="0.3">
      <c r="T10">
        <f>SUM($N$3:N9)</f>
        <v>1</v>
      </c>
    </row>
    <row r="11" spans="2:21" x14ac:dyDescent="0.3">
      <c r="M11">
        <f>M3*N3+M4*N4+M5*N5+M6*N6+M7*N7+M8*N8+M9*N9</f>
        <v>13.8</v>
      </c>
    </row>
    <row r="14" spans="2:21" x14ac:dyDescent="0.3">
      <c r="M14">
        <f>VLOOKUP(0.2,T3:U9,2,TRUE)</f>
        <v>7</v>
      </c>
    </row>
    <row r="16" spans="2:21" ht="43.2" x14ac:dyDescent="0.3">
      <c r="B16" s="1" t="s">
        <v>5</v>
      </c>
      <c r="C16" s="3" t="s">
        <v>0</v>
      </c>
      <c r="D16" s="3" t="s">
        <v>1</v>
      </c>
      <c r="E16" s="3" t="s">
        <v>2</v>
      </c>
      <c r="F16" s="3" t="s">
        <v>6</v>
      </c>
      <c r="G16" s="4" t="s">
        <v>3</v>
      </c>
    </row>
    <row r="17" spans="2:21" x14ac:dyDescent="0.3">
      <c r="B17" s="1">
        <f ca="1">R17</f>
        <v>12</v>
      </c>
      <c r="C17" s="6">
        <f ca="1">B17</f>
        <v>12</v>
      </c>
      <c r="D17" s="1">
        <f ca="1">U17</f>
        <v>7</v>
      </c>
      <c r="E17" s="6">
        <f ca="1">C17+D17</f>
        <v>19</v>
      </c>
      <c r="F17" s="6">
        <f ca="1">C17-B17</f>
        <v>0</v>
      </c>
      <c r="G17" s="6">
        <f ca="1">B17</f>
        <v>12</v>
      </c>
      <c r="R17">
        <f ca="1">VLOOKUP(RAND(),$Q$3:$R$6,2,TRUE)</f>
        <v>12</v>
      </c>
      <c r="U17">
        <f ca="1">VLOOKUP(RAND(),$T$3:$U$9,2,TRUE)</f>
        <v>7</v>
      </c>
    </row>
    <row r="18" spans="2:21" x14ac:dyDescent="0.3">
      <c r="B18" s="1">
        <f ca="1">R18+B17</f>
        <v>32</v>
      </c>
      <c r="C18" s="6">
        <f ca="1">MAX(B18,E17)</f>
        <v>32</v>
      </c>
      <c r="D18" s="1">
        <f t="shared" ref="D18:D38" ca="1" si="0">U18</f>
        <v>11</v>
      </c>
      <c r="E18" s="6">
        <f ca="1">C18+D18</f>
        <v>43</v>
      </c>
      <c r="F18" s="6">
        <f ca="1">C18-B18</f>
        <v>0</v>
      </c>
      <c r="G18" s="6">
        <f ca="1">C18-E17</f>
        <v>13</v>
      </c>
      <c r="R18">
        <f t="shared" ref="R18:R81" ca="1" si="1">VLOOKUP(RAND(),$Q$3:$R$6,2,TRUE)</f>
        <v>20</v>
      </c>
      <c r="U18">
        <f t="shared" ref="U18:U81" ca="1" si="2">VLOOKUP(RAND(),$T$3:$U$9,2,TRUE)</f>
        <v>11</v>
      </c>
    </row>
    <row r="19" spans="2:21" x14ac:dyDescent="0.3">
      <c r="B19" s="1">
        <f t="shared" ref="B19:B38" ca="1" si="3">R19+B18</f>
        <v>44</v>
      </c>
      <c r="C19" s="6">
        <f t="shared" ref="C19:C38" ca="1" si="4">MAX(B19,E18)</f>
        <v>44</v>
      </c>
      <c r="D19" s="1">
        <f t="shared" ca="1" si="0"/>
        <v>11</v>
      </c>
      <c r="E19" s="6">
        <f ca="1">C19+D19</f>
        <v>55</v>
      </c>
      <c r="F19" s="6">
        <f t="shared" ref="F19:F21" ca="1" si="5">C19-B19</f>
        <v>0</v>
      </c>
      <c r="G19" s="6">
        <f ca="1">C19-E18</f>
        <v>1</v>
      </c>
      <c r="R19">
        <f t="shared" ca="1" si="1"/>
        <v>12</v>
      </c>
      <c r="U19">
        <f t="shared" ca="1" si="2"/>
        <v>11</v>
      </c>
    </row>
    <row r="20" spans="2:21" x14ac:dyDescent="0.3">
      <c r="B20" s="1">
        <f t="shared" ca="1" si="3"/>
        <v>56</v>
      </c>
      <c r="C20" s="6">
        <f t="shared" ca="1" si="4"/>
        <v>56</v>
      </c>
      <c r="D20" s="1">
        <f t="shared" ca="1" si="0"/>
        <v>11</v>
      </c>
      <c r="E20" s="6">
        <f t="shared" ref="E20:E21" ca="1" si="6">C20+D20</f>
        <v>67</v>
      </c>
      <c r="F20" s="6">
        <f t="shared" ca="1" si="5"/>
        <v>0</v>
      </c>
      <c r="G20" s="6">
        <f t="shared" ref="G20:G21" ca="1" si="7">C20-E19</f>
        <v>1</v>
      </c>
      <c r="R20">
        <f t="shared" ca="1" si="1"/>
        <v>12</v>
      </c>
      <c r="U20">
        <f t="shared" ca="1" si="2"/>
        <v>11</v>
      </c>
    </row>
    <row r="21" spans="2:21" x14ac:dyDescent="0.3">
      <c r="B21" s="1">
        <f t="shared" ca="1" si="3"/>
        <v>68</v>
      </c>
      <c r="C21" s="6">
        <f t="shared" ca="1" si="4"/>
        <v>68</v>
      </c>
      <c r="D21" s="1">
        <f t="shared" ca="1" si="0"/>
        <v>18</v>
      </c>
      <c r="E21" s="6">
        <f t="shared" ca="1" si="6"/>
        <v>86</v>
      </c>
      <c r="F21" s="6">
        <f t="shared" ca="1" si="5"/>
        <v>0</v>
      </c>
      <c r="G21" s="6">
        <f t="shared" ca="1" si="7"/>
        <v>1</v>
      </c>
      <c r="R21">
        <f t="shared" ca="1" si="1"/>
        <v>12</v>
      </c>
      <c r="U21">
        <f t="shared" ca="1" si="2"/>
        <v>18</v>
      </c>
    </row>
    <row r="22" spans="2:21" x14ac:dyDescent="0.3">
      <c r="B22" s="1">
        <f t="shared" ca="1" si="3"/>
        <v>80</v>
      </c>
      <c r="C22" s="6">
        <f t="shared" ca="1" si="4"/>
        <v>86</v>
      </c>
      <c r="D22" s="1">
        <f t="shared" ca="1" si="0"/>
        <v>7</v>
      </c>
      <c r="E22" s="6">
        <f t="shared" ref="E22:E38" ca="1" si="8">C22+D22</f>
        <v>93</v>
      </c>
      <c r="F22" s="6">
        <f t="shared" ref="F22:F38" ca="1" si="9">C22-B22</f>
        <v>6</v>
      </c>
      <c r="G22" s="6">
        <f t="shared" ref="G22:G38" ca="1" si="10">C22-E21</f>
        <v>0</v>
      </c>
      <c r="R22">
        <f t="shared" ca="1" si="1"/>
        <v>12</v>
      </c>
      <c r="U22">
        <f t="shared" ca="1" si="2"/>
        <v>7</v>
      </c>
    </row>
    <row r="23" spans="2:21" x14ac:dyDescent="0.3">
      <c r="B23" s="1">
        <f t="shared" ca="1" si="3"/>
        <v>100</v>
      </c>
      <c r="C23" s="6">
        <f t="shared" ca="1" si="4"/>
        <v>100</v>
      </c>
      <c r="D23" s="1">
        <f t="shared" ca="1" si="0"/>
        <v>11</v>
      </c>
      <c r="E23" s="6">
        <f t="shared" ca="1" si="8"/>
        <v>111</v>
      </c>
      <c r="F23" s="6">
        <f t="shared" ca="1" si="9"/>
        <v>0</v>
      </c>
      <c r="G23" s="6">
        <f t="shared" ca="1" si="10"/>
        <v>7</v>
      </c>
      <c r="R23">
        <f t="shared" ca="1" si="1"/>
        <v>20</v>
      </c>
      <c r="U23">
        <f t="shared" ca="1" si="2"/>
        <v>11</v>
      </c>
    </row>
    <row r="24" spans="2:21" x14ac:dyDescent="0.3">
      <c r="B24" s="1">
        <f t="shared" ca="1" si="3"/>
        <v>120</v>
      </c>
      <c r="C24" s="6">
        <f t="shared" ca="1" si="4"/>
        <v>120</v>
      </c>
      <c r="D24" s="1">
        <f t="shared" ca="1" si="0"/>
        <v>7</v>
      </c>
      <c r="E24" s="6">
        <f t="shared" ca="1" si="8"/>
        <v>127</v>
      </c>
      <c r="F24" s="6">
        <f ca="1">C24-B24</f>
        <v>0</v>
      </c>
      <c r="G24" s="6">
        <f t="shared" ca="1" si="10"/>
        <v>9</v>
      </c>
      <c r="R24">
        <f t="shared" ca="1" si="1"/>
        <v>20</v>
      </c>
      <c r="U24">
        <f t="shared" ca="1" si="2"/>
        <v>7</v>
      </c>
    </row>
    <row r="25" spans="2:21" x14ac:dyDescent="0.3">
      <c r="B25" s="1">
        <f t="shared" ca="1" si="3"/>
        <v>140</v>
      </c>
      <c r="C25" s="6">
        <f t="shared" ca="1" si="4"/>
        <v>140</v>
      </c>
      <c r="D25" s="1">
        <f t="shared" ca="1" si="0"/>
        <v>7</v>
      </c>
      <c r="E25" s="6">
        <f t="shared" ca="1" si="8"/>
        <v>147</v>
      </c>
      <c r="F25" s="6">
        <f t="shared" ca="1" si="9"/>
        <v>0</v>
      </c>
      <c r="G25" s="6">
        <f t="shared" ca="1" si="10"/>
        <v>13</v>
      </c>
      <c r="R25">
        <f t="shared" ca="1" si="1"/>
        <v>20</v>
      </c>
      <c r="U25">
        <f t="shared" ca="1" si="2"/>
        <v>7</v>
      </c>
    </row>
    <row r="26" spans="2:21" x14ac:dyDescent="0.3">
      <c r="B26" s="1">
        <f t="shared" ca="1" si="3"/>
        <v>156</v>
      </c>
      <c r="C26" s="6">
        <f t="shared" ca="1" si="4"/>
        <v>156</v>
      </c>
      <c r="D26" s="1">
        <f t="shared" ca="1" si="0"/>
        <v>20</v>
      </c>
      <c r="E26" s="6">
        <f t="shared" ca="1" si="8"/>
        <v>176</v>
      </c>
      <c r="F26" s="6">
        <f t="shared" ca="1" si="9"/>
        <v>0</v>
      </c>
      <c r="G26" s="6">
        <f t="shared" ca="1" si="10"/>
        <v>9</v>
      </c>
      <c r="R26">
        <f t="shared" ca="1" si="1"/>
        <v>16</v>
      </c>
      <c r="U26">
        <f t="shared" ca="1" si="2"/>
        <v>20</v>
      </c>
    </row>
    <row r="27" spans="2:21" x14ac:dyDescent="0.3">
      <c r="B27" s="1">
        <f t="shared" ca="1" si="3"/>
        <v>168</v>
      </c>
      <c r="C27" s="6">
        <f t="shared" ca="1" si="4"/>
        <v>176</v>
      </c>
      <c r="D27" s="1">
        <f t="shared" ca="1" si="0"/>
        <v>20</v>
      </c>
      <c r="E27" s="6">
        <f ca="1">C27+D27</f>
        <v>196</v>
      </c>
      <c r="F27" s="6">
        <f t="shared" ca="1" si="9"/>
        <v>8</v>
      </c>
      <c r="G27" s="6">
        <f ca="1">C27-E26</f>
        <v>0</v>
      </c>
      <c r="R27">
        <f t="shared" ca="1" si="1"/>
        <v>12</v>
      </c>
      <c r="U27">
        <f t="shared" ca="1" si="2"/>
        <v>20</v>
      </c>
    </row>
    <row r="28" spans="2:21" x14ac:dyDescent="0.3">
      <c r="B28" s="1">
        <f t="shared" ca="1" si="3"/>
        <v>180</v>
      </c>
      <c r="C28" s="6">
        <f t="shared" ca="1" si="4"/>
        <v>196</v>
      </c>
      <c r="D28" s="1">
        <f t="shared" ca="1" si="0"/>
        <v>20</v>
      </c>
      <c r="E28" s="6">
        <f t="shared" ca="1" si="8"/>
        <v>216</v>
      </c>
      <c r="F28" s="6">
        <f t="shared" ca="1" si="9"/>
        <v>16</v>
      </c>
      <c r="G28" s="6">
        <f t="shared" ca="1" si="10"/>
        <v>0</v>
      </c>
      <c r="R28">
        <f t="shared" ca="1" si="1"/>
        <v>12</v>
      </c>
      <c r="U28">
        <f t="shared" ca="1" si="2"/>
        <v>20</v>
      </c>
    </row>
    <row r="29" spans="2:21" x14ac:dyDescent="0.3">
      <c r="B29" s="1">
        <f t="shared" ca="1" si="3"/>
        <v>200</v>
      </c>
      <c r="C29" s="6">
        <f t="shared" ca="1" si="4"/>
        <v>216</v>
      </c>
      <c r="D29" s="1">
        <f t="shared" ca="1" si="0"/>
        <v>11</v>
      </c>
      <c r="E29" s="6">
        <f t="shared" ca="1" si="8"/>
        <v>227</v>
      </c>
      <c r="F29" s="6">
        <f t="shared" ca="1" si="9"/>
        <v>16</v>
      </c>
      <c r="G29" s="6">
        <f t="shared" ca="1" si="10"/>
        <v>0</v>
      </c>
      <c r="R29">
        <f t="shared" ca="1" si="1"/>
        <v>20</v>
      </c>
      <c r="U29">
        <f t="shared" ca="1" si="2"/>
        <v>11</v>
      </c>
    </row>
    <row r="30" spans="2:21" x14ac:dyDescent="0.3">
      <c r="B30" s="1">
        <f t="shared" ca="1" si="3"/>
        <v>212</v>
      </c>
      <c r="C30" s="6">
        <f t="shared" ca="1" si="4"/>
        <v>227</v>
      </c>
      <c r="D30" s="1">
        <f t="shared" ca="1" si="0"/>
        <v>20</v>
      </c>
      <c r="E30" s="6">
        <f t="shared" ca="1" si="8"/>
        <v>247</v>
      </c>
      <c r="F30" s="6">
        <f t="shared" ca="1" si="9"/>
        <v>15</v>
      </c>
      <c r="G30" s="6">
        <f t="shared" ca="1" si="10"/>
        <v>0</v>
      </c>
      <c r="R30">
        <f t="shared" ca="1" si="1"/>
        <v>12</v>
      </c>
      <c r="U30">
        <f t="shared" ca="1" si="2"/>
        <v>20</v>
      </c>
    </row>
    <row r="31" spans="2:21" x14ac:dyDescent="0.3">
      <c r="B31" s="1">
        <f t="shared" ca="1" si="3"/>
        <v>224</v>
      </c>
      <c r="C31" s="6">
        <f t="shared" ca="1" si="4"/>
        <v>247</v>
      </c>
      <c r="D31" s="1">
        <f t="shared" ca="1" si="0"/>
        <v>11</v>
      </c>
      <c r="E31" s="6">
        <f t="shared" ca="1" si="8"/>
        <v>258</v>
      </c>
      <c r="F31" s="6">
        <f t="shared" ca="1" si="9"/>
        <v>23</v>
      </c>
      <c r="G31" s="6">
        <f t="shared" ca="1" si="10"/>
        <v>0</v>
      </c>
      <c r="R31">
        <f t="shared" ca="1" si="1"/>
        <v>12</v>
      </c>
      <c r="U31">
        <f t="shared" ca="1" si="2"/>
        <v>11</v>
      </c>
    </row>
    <row r="32" spans="2:21" x14ac:dyDescent="0.3">
      <c r="B32" s="1">
        <f t="shared" ca="1" si="3"/>
        <v>240</v>
      </c>
      <c r="C32" s="6">
        <f t="shared" ca="1" si="4"/>
        <v>258</v>
      </c>
      <c r="D32" s="1">
        <f t="shared" ca="1" si="0"/>
        <v>15</v>
      </c>
      <c r="E32" s="6">
        <f t="shared" ca="1" si="8"/>
        <v>273</v>
      </c>
      <c r="F32" s="6">
        <f t="shared" ca="1" si="9"/>
        <v>18</v>
      </c>
      <c r="G32" s="6">
        <f t="shared" ca="1" si="10"/>
        <v>0</v>
      </c>
      <c r="R32">
        <f t="shared" ca="1" si="1"/>
        <v>16</v>
      </c>
      <c r="U32">
        <f t="shared" ca="1" si="2"/>
        <v>15</v>
      </c>
    </row>
    <row r="33" spans="2:21" x14ac:dyDescent="0.3">
      <c r="B33" s="1">
        <f t="shared" ca="1" si="3"/>
        <v>260</v>
      </c>
      <c r="C33" s="6">
        <f t="shared" ca="1" si="4"/>
        <v>273</v>
      </c>
      <c r="D33" s="1">
        <f t="shared" ca="1" si="0"/>
        <v>7</v>
      </c>
      <c r="E33" s="6">
        <f t="shared" ca="1" si="8"/>
        <v>280</v>
      </c>
      <c r="F33" s="6">
        <f t="shared" ca="1" si="9"/>
        <v>13</v>
      </c>
      <c r="G33" s="6">
        <f t="shared" ca="1" si="10"/>
        <v>0</v>
      </c>
      <c r="R33">
        <f t="shared" ca="1" si="1"/>
        <v>20</v>
      </c>
      <c r="U33">
        <f t="shared" ca="1" si="2"/>
        <v>7</v>
      </c>
    </row>
    <row r="34" spans="2:21" x14ac:dyDescent="0.3">
      <c r="B34" s="1">
        <f t="shared" ca="1" si="3"/>
        <v>272</v>
      </c>
      <c r="C34" s="6">
        <f t="shared" ca="1" si="4"/>
        <v>280</v>
      </c>
      <c r="D34" s="1">
        <f t="shared" ca="1" si="0"/>
        <v>7</v>
      </c>
      <c r="E34" s="6">
        <f t="shared" ca="1" si="8"/>
        <v>287</v>
      </c>
      <c r="F34" s="6">
        <f t="shared" ca="1" si="9"/>
        <v>8</v>
      </c>
      <c r="G34" s="6">
        <f t="shared" ca="1" si="10"/>
        <v>0</v>
      </c>
      <c r="R34">
        <f t="shared" ca="1" si="1"/>
        <v>12</v>
      </c>
      <c r="U34">
        <f t="shared" ca="1" si="2"/>
        <v>7</v>
      </c>
    </row>
    <row r="35" spans="2:21" x14ac:dyDescent="0.3">
      <c r="B35" s="1">
        <f t="shared" ca="1" si="3"/>
        <v>280</v>
      </c>
      <c r="C35" s="6">
        <f t="shared" ca="1" si="4"/>
        <v>287</v>
      </c>
      <c r="D35" s="1">
        <f t="shared" ca="1" si="0"/>
        <v>11</v>
      </c>
      <c r="E35" s="6">
        <f t="shared" ca="1" si="8"/>
        <v>298</v>
      </c>
      <c r="F35" s="6">
        <f t="shared" ca="1" si="9"/>
        <v>7</v>
      </c>
      <c r="G35" s="6">
        <f t="shared" ca="1" si="10"/>
        <v>0</v>
      </c>
      <c r="R35">
        <f t="shared" ca="1" si="1"/>
        <v>8</v>
      </c>
      <c r="U35">
        <f t="shared" ca="1" si="2"/>
        <v>11</v>
      </c>
    </row>
    <row r="36" spans="2:21" x14ac:dyDescent="0.3">
      <c r="B36" s="1">
        <f t="shared" ca="1" si="3"/>
        <v>292</v>
      </c>
      <c r="C36" s="6">
        <f t="shared" ca="1" si="4"/>
        <v>298</v>
      </c>
      <c r="D36" s="1">
        <f t="shared" ca="1" si="0"/>
        <v>7</v>
      </c>
      <c r="E36" s="6">
        <f t="shared" ca="1" si="8"/>
        <v>305</v>
      </c>
      <c r="F36" s="6">
        <f t="shared" ca="1" si="9"/>
        <v>6</v>
      </c>
      <c r="G36" s="6">
        <f t="shared" ca="1" si="10"/>
        <v>0</v>
      </c>
      <c r="R36">
        <f t="shared" ca="1" si="1"/>
        <v>12</v>
      </c>
      <c r="U36">
        <f t="shared" ca="1" si="2"/>
        <v>7</v>
      </c>
    </row>
    <row r="37" spans="2:21" x14ac:dyDescent="0.3">
      <c r="B37" s="1">
        <f t="shared" ca="1" si="3"/>
        <v>308</v>
      </c>
      <c r="C37" s="6">
        <f t="shared" ca="1" si="4"/>
        <v>308</v>
      </c>
      <c r="D37" s="1">
        <f t="shared" ca="1" si="0"/>
        <v>20</v>
      </c>
      <c r="E37" s="6">
        <f t="shared" ca="1" si="8"/>
        <v>328</v>
      </c>
      <c r="F37" s="6">
        <f t="shared" ca="1" si="9"/>
        <v>0</v>
      </c>
      <c r="G37" s="6">
        <f t="shared" ca="1" si="10"/>
        <v>3</v>
      </c>
      <c r="R37">
        <f t="shared" ca="1" si="1"/>
        <v>16</v>
      </c>
      <c r="U37">
        <f t="shared" ca="1" si="2"/>
        <v>20</v>
      </c>
    </row>
    <row r="38" spans="2:21" x14ac:dyDescent="0.3">
      <c r="B38" s="1">
        <f t="shared" ca="1" si="3"/>
        <v>328</v>
      </c>
      <c r="C38" s="6">
        <f t="shared" ca="1" si="4"/>
        <v>328</v>
      </c>
      <c r="D38" s="1">
        <f t="shared" ca="1" si="0"/>
        <v>15</v>
      </c>
      <c r="E38" s="6">
        <f t="shared" ca="1" si="8"/>
        <v>343</v>
      </c>
      <c r="F38" s="6">
        <f t="shared" ca="1" si="9"/>
        <v>0</v>
      </c>
      <c r="G38" s="6">
        <f t="shared" ca="1" si="10"/>
        <v>0</v>
      </c>
      <c r="R38">
        <f t="shared" ca="1" si="1"/>
        <v>20</v>
      </c>
      <c r="U38">
        <f t="shared" ca="1" si="2"/>
        <v>15</v>
      </c>
    </row>
    <row r="39" spans="2:21" x14ac:dyDescent="0.3">
      <c r="B39" s="1">
        <f t="shared" ref="B39:B46" ca="1" si="11">R39+B38</f>
        <v>336</v>
      </c>
      <c r="C39" s="6">
        <f t="shared" ref="C39:C46" ca="1" si="12">MAX(B39,E38)</f>
        <v>343</v>
      </c>
      <c r="D39" s="1">
        <f t="shared" ref="D39:D46" ca="1" si="13">U39</f>
        <v>11</v>
      </c>
      <c r="E39" s="6">
        <f t="shared" ref="E39:E46" ca="1" si="14">C39+D39</f>
        <v>354</v>
      </c>
      <c r="F39" s="6">
        <f t="shared" ref="F39:F46" ca="1" si="15">C39-B39</f>
        <v>7</v>
      </c>
      <c r="G39" s="6">
        <f t="shared" ref="G39:G46" ca="1" si="16">C39-E38</f>
        <v>0</v>
      </c>
      <c r="R39">
        <f t="shared" ca="1" si="1"/>
        <v>8</v>
      </c>
      <c r="U39">
        <f t="shared" ca="1" si="2"/>
        <v>11</v>
      </c>
    </row>
    <row r="40" spans="2:21" x14ac:dyDescent="0.3">
      <c r="B40" s="1">
        <f t="shared" ca="1" si="11"/>
        <v>356</v>
      </c>
      <c r="C40" s="6">
        <f t="shared" ca="1" si="12"/>
        <v>356</v>
      </c>
      <c r="D40" s="1">
        <f t="shared" ca="1" si="13"/>
        <v>15</v>
      </c>
      <c r="E40" s="6">
        <f t="shared" ca="1" si="14"/>
        <v>371</v>
      </c>
      <c r="F40" s="6">
        <f t="shared" ca="1" si="15"/>
        <v>0</v>
      </c>
      <c r="G40" s="6">
        <f t="shared" ca="1" si="16"/>
        <v>2</v>
      </c>
      <c r="R40">
        <f t="shared" ca="1" si="1"/>
        <v>20</v>
      </c>
      <c r="U40">
        <f t="shared" ca="1" si="2"/>
        <v>15</v>
      </c>
    </row>
    <row r="41" spans="2:21" x14ac:dyDescent="0.3">
      <c r="B41" s="1">
        <f t="shared" ca="1" si="11"/>
        <v>372</v>
      </c>
      <c r="C41" s="6">
        <f t="shared" ca="1" si="12"/>
        <v>372</v>
      </c>
      <c r="D41" s="1">
        <f t="shared" ca="1" si="13"/>
        <v>11</v>
      </c>
      <c r="E41" s="6">
        <f t="shared" ca="1" si="14"/>
        <v>383</v>
      </c>
      <c r="F41" s="6">
        <f t="shared" ca="1" si="15"/>
        <v>0</v>
      </c>
      <c r="G41" s="6">
        <f t="shared" ca="1" si="16"/>
        <v>1</v>
      </c>
      <c r="R41">
        <f t="shared" ca="1" si="1"/>
        <v>16</v>
      </c>
      <c r="U41">
        <f t="shared" ca="1" si="2"/>
        <v>11</v>
      </c>
    </row>
    <row r="42" spans="2:21" x14ac:dyDescent="0.3">
      <c r="B42" s="1">
        <f t="shared" ca="1" si="11"/>
        <v>384</v>
      </c>
      <c r="C42" s="6">
        <f t="shared" ca="1" si="12"/>
        <v>384</v>
      </c>
      <c r="D42" s="1">
        <f t="shared" ca="1" si="13"/>
        <v>20</v>
      </c>
      <c r="E42" s="6">
        <f t="shared" ca="1" si="14"/>
        <v>404</v>
      </c>
      <c r="F42" s="6">
        <f t="shared" ca="1" si="15"/>
        <v>0</v>
      </c>
      <c r="G42" s="6">
        <f t="shared" ca="1" si="16"/>
        <v>1</v>
      </c>
      <c r="R42">
        <f t="shared" ca="1" si="1"/>
        <v>12</v>
      </c>
      <c r="U42">
        <f t="shared" ca="1" si="2"/>
        <v>20</v>
      </c>
    </row>
    <row r="43" spans="2:21" x14ac:dyDescent="0.3">
      <c r="B43" s="1">
        <f t="shared" ca="1" si="11"/>
        <v>392</v>
      </c>
      <c r="C43" s="6">
        <f t="shared" ca="1" si="12"/>
        <v>404</v>
      </c>
      <c r="D43" s="1">
        <f t="shared" ca="1" si="13"/>
        <v>7</v>
      </c>
      <c r="E43" s="6">
        <f t="shared" ca="1" si="14"/>
        <v>411</v>
      </c>
      <c r="F43" s="6">
        <f t="shared" ca="1" si="15"/>
        <v>12</v>
      </c>
      <c r="G43" s="6">
        <f t="shared" ca="1" si="16"/>
        <v>0</v>
      </c>
      <c r="R43">
        <f t="shared" ca="1" si="1"/>
        <v>8</v>
      </c>
      <c r="U43">
        <f t="shared" ca="1" si="2"/>
        <v>7</v>
      </c>
    </row>
    <row r="44" spans="2:21" x14ac:dyDescent="0.3">
      <c r="B44" s="1">
        <f t="shared" ca="1" si="11"/>
        <v>404</v>
      </c>
      <c r="C44" s="6">
        <f t="shared" ca="1" si="12"/>
        <v>411</v>
      </c>
      <c r="D44" s="1">
        <f t="shared" ca="1" si="13"/>
        <v>7</v>
      </c>
      <c r="E44" s="6">
        <f t="shared" ca="1" si="14"/>
        <v>418</v>
      </c>
      <c r="F44" s="6">
        <f t="shared" ca="1" si="15"/>
        <v>7</v>
      </c>
      <c r="G44" s="6">
        <f t="shared" ca="1" si="16"/>
        <v>0</v>
      </c>
      <c r="R44">
        <f t="shared" ca="1" si="1"/>
        <v>12</v>
      </c>
      <c r="U44">
        <f t="shared" ca="1" si="2"/>
        <v>7</v>
      </c>
    </row>
    <row r="45" spans="2:21" x14ac:dyDescent="0.3">
      <c r="B45" s="1">
        <f t="shared" ca="1" si="11"/>
        <v>424</v>
      </c>
      <c r="C45" s="6">
        <f t="shared" ca="1" si="12"/>
        <v>424</v>
      </c>
      <c r="D45" s="1">
        <f t="shared" ca="1" si="13"/>
        <v>15</v>
      </c>
      <c r="E45" s="6">
        <f t="shared" ca="1" si="14"/>
        <v>439</v>
      </c>
      <c r="F45" s="6">
        <f t="shared" ca="1" si="15"/>
        <v>0</v>
      </c>
      <c r="G45" s="6">
        <f t="shared" ca="1" si="16"/>
        <v>6</v>
      </c>
      <c r="R45">
        <f t="shared" ca="1" si="1"/>
        <v>20</v>
      </c>
      <c r="U45">
        <f t="shared" ca="1" si="2"/>
        <v>15</v>
      </c>
    </row>
    <row r="46" spans="2:21" x14ac:dyDescent="0.3">
      <c r="B46" s="1">
        <f t="shared" ca="1" si="11"/>
        <v>432</v>
      </c>
      <c r="C46" s="6">
        <f t="shared" ca="1" si="12"/>
        <v>439</v>
      </c>
      <c r="D46" s="1">
        <f t="shared" ca="1" si="13"/>
        <v>20</v>
      </c>
      <c r="E46" s="6">
        <f t="shared" ca="1" si="14"/>
        <v>459</v>
      </c>
      <c r="F46" s="6">
        <f t="shared" ca="1" si="15"/>
        <v>7</v>
      </c>
      <c r="G46" s="6">
        <f t="shared" ca="1" si="16"/>
        <v>0</v>
      </c>
      <c r="R46">
        <f t="shared" ca="1" si="1"/>
        <v>8</v>
      </c>
      <c r="U46">
        <f t="shared" ca="1" si="2"/>
        <v>20</v>
      </c>
    </row>
    <row r="47" spans="2:21" x14ac:dyDescent="0.3">
      <c r="B47" s="1">
        <f t="shared" ref="B47:B110" ca="1" si="17">R47+B46</f>
        <v>444</v>
      </c>
      <c r="C47" s="6">
        <f t="shared" ref="C47:C110" ca="1" si="18">MAX(B47,E46)</f>
        <v>459</v>
      </c>
      <c r="D47" s="1">
        <f t="shared" ref="D47:D110" ca="1" si="19">U47</f>
        <v>22</v>
      </c>
      <c r="E47" s="6">
        <f t="shared" ref="E47:E110" ca="1" si="20">C47+D47</f>
        <v>481</v>
      </c>
      <c r="F47" s="6">
        <f t="shared" ref="F47:F110" ca="1" si="21">C47-B47</f>
        <v>15</v>
      </c>
      <c r="G47" s="6">
        <f t="shared" ref="G47:G110" ca="1" si="22">C47-E46</f>
        <v>0</v>
      </c>
      <c r="R47">
        <f t="shared" ca="1" si="1"/>
        <v>12</v>
      </c>
      <c r="U47">
        <f t="shared" ca="1" si="2"/>
        <v>22</v>
      </c>
    </row>
    <row r="48" spans="2:21" x14ac:dyDescent="0.3">
      <c r="B48" s="1">
        <f t="shared" ca="1" si="17"/>
        <v>452</v>
      </c>
      <c r="C48" s="6">
        <f t="shared" ca="1" si="18"/>
        <v>481</v>
      </c>
      <c r="D48" s="1">
        <f t="shared" ca="1" si="19"/>
        <v>20</v>
      </c>
      <c r="E48" s="6">
        <f t="shared" ca="1" si="20"/>
        <v>501</v>
      </c>
      <c r="F48" s="6">
        <f t="shared" ca="1" si="21"/>
        <v>29</v>
      </c>
      <c r="G48" s="6">
        <f t="shared" ca="1" si="22"/>
        <v>0</v>
      </c>
      <c r="R48">
        <f t="shared" ca="1" si="1"/>
        <v>8</v>
      </c>
      <c r="U48">
        <f t="shared" ca="1" si="2"/>
        <v>20</v>
      </c>
    </row>
    <row r="49" spans="2:21" x14ac:dyDescent="0.3">
      <c r="B49" s="1">
        <f t="shared" ca="1" si="17"/>
        <v>460</v>
      </c>
      <c r="C49" s="6">
        <f t="shared" ca="1" si="18"/>
        <v>501</v>
      </c>
      <c r="D49" s="1">
        <f t="shared" ca="1" si="19"/>
        <v>18</v>
      </c>
      <c r="E49" s="6">
        <f t="shared" ca="1" si="20"/>
        <v>519</v>
      </c>
      <c r="F49" s="6">
        <f t="shared" ca="1" si="21"/>
        <v>41</v>
      </c>
      <c r="G49" s="6">
        <f t="shared" ca="1" si="22"/>
        <v>0</v>
      </c>
      <c r="R49">
        <f t="shared" ca="1" si="1"/>
        <v>8</v>
      </c>
      <c r="U49">
        <f t="shared" ca="1" si="2"/>
        <v>18</v>
      </c>
    </row>
    <row r="50" spans="2:21" x14ac:dyDescent="0.3">
      <c r="B50" s="1">
        <f t="shared" ca="1" si="17"/>
        <v>472</v>
      </c>
      <c r="C50" s="6">
        <f t="shared" ca="1" si="18"/>
        <v>519</v>
      </c>
      <c r="D50" s="1">
        <f t="shared" ca="1" si="19"/>
        <v>22</v>
      </c>
      <c r="E50" s="6">
        <f t="shared" ca="1" si="20"/>
        <v>541</v>
      </c>
      <c r="F50" s="6">
        <f t="shared" ca="1" si="21"/>
        <v>47</v>
      </c>
      <c r="G50" s="6">
        <f t="shared" ca="1" si="22"/>
        <v>0</v>
      </c>
      <c r="R50">
        <f t="shared" ca="1" si="1"/>
        <v>12</v>
      </c>
      <c r="U50">
        <f t="shared" ca="1" si="2"/>
        <v>22</v>
      </c>
    </row>
    <row r="51" spans="2:21" x14ac:dyDescent="0.3">
      <c r="B51" s="1">
        <f t="shared" ca="1" si="17"/>
        <v>488</v>
      </c>
      <c r="C51" s="6">
        <f t="shared" ca="1" si="18"/>
        <v>541</v>
      </c>
      <c r="D51" s="1">
        <f t="shared" ca="1" si="19"/>
        <v>20</v>
      </c>
      <c r="E51" s="6">
        <f t="shared" ca="1" si="20"/>
        <v>561</v>
      </c>
      <c r="F51" s="6">
        <f t="shared" ca="1" si="21"/>
        <v>53</v>
      </c>
      <c r="G51" s="6">
        <f t="shared" ca="1" si="22"/>
        <v>0</v>
      </c>
      <c r="R51">
        <f t="shared" ca="1" si="1"/>
        <v>16</v>
      </c>
      <c r="U51">
        <f t="shared" ca="1" si="2"/>
        <v>20</v>
      </c>
    </row>
    <row r="52" spans="2:21" x14ac:dyDescent="0.3">
      <c r="B52" s="1">
        <f t="shared" ca="1" si="17"/>
        <v>500</v>
      </c>
      <c r="C52" s="6">
        <f t="shared" ca="1" si="18"/>
        <v>561</v>
      </c>
      <c r="D52" s="1">
        <f t="shared" ca="1" si="19"/>
        <v>7</v>
      </c>
      <c r="E52" s="6">
        <f t="shared" ca="1" si="20"/>
        <v>568</v>
      </c>
      <c r="F52" s="6">
        <f t="shared" ca="1" si="21"/>
        <v>61</v>
      </c>
      <c r="G52" s="6">
        <f t="shared" ca="1" si="22"/>
        <v>0</v>
      </c>
      <c r="R52">
        <f t="shared" ca="1" si="1"/>
        <v>12</v>
      </c>
      <c r="U52">
        <f t="shared" ca="1" si="2"/>
        <v>7</v>
      </c>
    </row>
    <row r="53" spans="2:21" x14ac:dyDescent="0.3">
      <c r="B53" s="1">
        <f t="shared" ca="1" si="17"/>
        <v>516</v>
      </c>
      <c r="C53" s="6">
        <f t="shared" ca="1" si="18"/>
        <v>568</v>
      </c>
      <c r="D53" s="1">
        <f t="shared" ca="1" si="19"/>
        <v>11</v>
      </c>
      <c r="E53" s="6">
        <f t="shared" ca="1" si="20"/>
        <v>579</v>
      </c>
      <c r="F53" s="6">
        <f t="shared" ca="1" si="21"/>
        <v>52</v>
      </c>
      <c r="G53" s="6">
        <f t="shared" ca="1" si="22"/>
        <v>0</v>
      </c>
      <c r="R53">
        <f t="shared" ca="1" si="1"/>
        <v>16</v>
      </c>
      <c r="U53">
        <f t="shared" ca="1" si="2"/>
        <v>11</v>
      </c>
    </row>
    <row r="54" spans="2:21" x14ac:dyDescent="0.3">
      <c r="B54" s="1">
        <f t="shared" ca="1" si="17"/>
        <v>528</v>
      </c>
      <c r="C54" s="6">
        <f t="shared" ca="1" si="18"/>
        <v>579</v>
      </c>
      <c r="D54" s="1">
        <f t="shared" ca="1" si="19"/>
        <v>7</v>
      </c>
      <c r="E54" s="6">
        <f t="shared" ca="1" si="20"/>
        <v>586</v>
      </c>
      <c r="F54" s="6">
        <f t="shared" ca="1" si="21"/>
        <v>51</v>
      </c>
      <c r="G54" s="6">
        <f t="shared" ca="1" si="22"/>
        <v>0</v>
      </c>
      <c r="R54">
        <f t="shared" ca="1" si="1"/>
        <v>12</v>
      </c>
      <c r="U54">
        <f t="shared" ca="1" si="2"/>
        <v>7</v>
      </c>
    </row>
    <row r="55" spans="2:21" x14ac:dyDescent="0.3">
      <c r="B55" s="1">
        <f t="shared" ca="1" si="17"/>
        <v>540</v>
      </c>
      <c r="C55" s="6">
        <f t="shared" ca="1" si="18"/>
        <v>586</v>
      </c>
      <c r="D55" s="1">
        <f t="shared" ca="1" si="19"/>
        <v>7</v>
      </c>
      <c r="E55" s="6">
        <f t="shared" ca="1" si="20"/>
        <v>593</v>
      </c>
      <c r="F55" s="6">
        <f t="shared" ca="1" si="21"/>
        <v>46</v>
      </c>
      <c r="G55" s="6">
        <f t="shared" ca="1" si="22"/>
        <v>0</v>
      </c>
      <c r="R55">
        <f t="shared" ca="1" si="1"/>
        <v>12</v>
      </c>
      <c r="U55">
        <f t="shared" ca="1" si="2"/>
        <v>7</v>
      </c>
    </row>
    <row r="56" spans="2:21" x14ac:dyDescent="0.3">
      <c r="B56" s="1">
        <f t="shared" ca="1" si="17"/>
        <v>552</v>
      </c>
      <c r="C56" s="6">
        <f t="shared" ca="1" si="18"/>
        <v>593</v>
      </c>
      <c r="D56" s="1">
        <f t="shared" ca="1" si="19"/>
        <v>7</v>
      </c>
      <c r="E56" s="6">
        <f t="shared" ca="1" si="20"/>
        <v>600</v>
      </c>
      <c r="F56" s="6">
        <f t="shared" ca="1" si="21"/>
        <v>41</v>
      </c>
      <c r="G56" s="6">
        <f t="shared" ca="1" si="22"/>
        <v>0</v>
      </c>
      <c r="R56">
        <f t="shared" ca="1" si="1"/>
        <v>12</v>
      </c>
      <c r="U56">
        <f t="shared" ca="1" si="2"/>
        <v>7</v>
      </c>
    </row>
    <row r="57" spans="2:21" x14ac:dyDescent="0.3">
      <c r="B57" s="1">
        <f t="shared" ca="1" si="17"/>
        <v>560</v>
      </c>
      <c r="C57" s="6">
        <f t="shared" ca="1" si="18"/>
        <v>600</v>
      </c>
      <c r="D57" s="1">
        <f t="shared" ca="1" si="19"/>
        <v>7</v>
      </c>
      <c r="E57" s="6">
        <f t="shared" ca="1" si="20"/>
        <v>607</v>
      </c>
      <c r="F57" s="6">
        <f t="shared" ca="1" si="21"/>
        <v>40</v>
      </c>
      <c r="G57" s="6">
        <f t="shared" ca="1" si="22"/>
        <v>0</v>
      </c>
      <c r="R57">
        <f t="shared" ca="1" si="1"/>
        <v>8</v>
      </c>
      <c r="U57">
        <f t="shared" ca="1" si="2"/>
        <v>7</v>
      </c>
    </row>
    <row r="58" spans="2:21" x14ac:dyDescent="0.3">
      <c r="B58" s="1">
        <f t="shared" ca="1" si="17"/>
        <v>576</v>
      </c>
      <c r="C58" s="6">
        <f t="shared" ca="1" si="18"/>
        <v>607</v>
      </c>
      <c r="D58" s="1">
        <f t="shared" ca="1" si="19"/>
        <v>11</v>
      </c>
      <c r="E58" s="6">
        <f t="shared" ca="1" si="20"/>
        <v>618</v>
      </c>
      <c r="F58" s="6">
        <f t="shared" ca="1" si="21"/>
        <v>31</v>
      </c>
      <c r="G58" s="6">
        <f t="shared" ca="1" si="22"/>
        <v>0</v>
      </c>
      <c r="R58">
        <f t="shared" ca="1" si="1"/>
        <v>16</v>
      </c>
      <c r="U58">
        <f t="shared" ca="1" si="2"/>
        <v>11</v>
      </c>
    </row>
    <row r="59" spans="2:21" x14ac:dyDescent="0.3">
      <c r="B59" s="1">
        <f t="shared" ca="1" si="17"/>
        <v>588</v>
      </c>
      <c r="C59" s="6">
        <f t="shared" ca="1" si="18"/>
        <v>618</v>
      </c>
      <c r="D59" s="1">
        <f t="shared" ca="1" si="19"/>
        <v>18</v>
      </c>
      <c r="E59" s="6">
        <f t="shared" ca="1" si="20"/>
        <v>636</v>
      </c>
      <c r="F59" s="6">
        <f t="shared" ca="1" si="21"/>
        <v>30</v>
      </c>
      <c r="G59" s="6">
        <f t="shared" ca="1" si="22"/>
        <v>0</v>
      </c>
      <c r="R59">
        <f t="shared" ca="1" si="1"/>
        <v>12</v>
      </c>
      <c r="U59">
        <f t="shared" ca="1" si="2"/>
        <v>18</v>
      </c>
    </row>
    <row r="60" spans="2:21" x14ac:dyDescent="0.3">
      <c r="B60" s="1">
        <f t="shared" ca="1" si="17"/>
        <v>596</v>
      </c>
      <c r="C60" s="6">
        <f t="shared" ca="1" si="18"/>
        <v>636</v>
      </c>
      <c r="D60" s="1">
        <f t="shared" ca="1" si="19"/>
        <v>7</v>
      </c>
      <c r="E60" s="6">
        <f t="shared" ca="1" si="20"/>
        <v>643</v>
      </c>
      <c r="F60" s="6">
        <f t="shared" ca="1" si="21"/>
        <v>40</v>
      </c>
      <c r="G60" s="6">
        <f t="shared" ca="1" si="22"/>
        <v>0</v>
      </c>
      <c r="R60">
        <f t="shared" ca="1" si="1"/>
        <v>8</v>
      </c>
      <c r="U60">
        <f t="shared" ca="1" si="2"/>
        <v>7</v>
      </c>
    </row>
    <row r="61" spans="2:21" x14ac:dyDescent="0.3">
      <c r="B61" s="1">
        <f t="shared" ca="1" si="17"/>
        <v>616</v>
      </c>
      <c r="C61" s="6">
        <f t="shared" ca="1" si="18"/>
        <v>643</v>
      </c>
      <c r="D61" s="1">
        <f t="shared" ca="1" si="19"/>
        <v>20</v>
      </c>
      <c r="E61" s="6">
        <f t="shared" ca="1" si="20"/>
        <v>663</v>
      </c>
      <c r="F61" s="6">
        <f t="shared" ca="1" si="21"/>
        <v>27</v>
      </c>
      <c r="G61" s="6">
        <f t="shared" ca="1" si="22"/>
        <v>0</v>
      </c>
      <c r="R61">
        <f t="shared" ca="1" si="1"/>
        <v>20</v>
      </c>
      <c r="U61">
        <f t="shared" ca="1" si="2"/>
        <v>20</v>
      </c>
    </row>
    <row r="62" spans="2:21" x14ac:dyDescent="0.3">
      <c r="B62" s="1">
        <f t="shared" ca="1" si="17"/>
        <v>628</v>
      </c>
      <c r="C62" s="6">
        <f t="shared" ca="1" si="18"/>
        <v>663</v>
      </c>
      <c r="D62" s="1">
        <f t="shared" ca="1" si="19"/>
        <v>7</v>
      </c>
      <c r="E62" s="6">
        <f t="shared" ca="1" si="20"/>
        <v>670</v>
      </c>
      <c r="F62" s="6">
        <f t="shared" ca="1" si="21"/>
        <v>35</v>
      </c>
      <c r="G62" s="6">
        <f t="shared" ca="1" si="22"/>
        <v>0</v>
      </c>
      <c r="R62">
        <f t="shared" ca="1" si="1"/>
        <v>12</v>
      </c>
      <c r="U62">
        <f t="shared" ca="1" si="2"/>
        <v>7</v>
      </c>
    </row>
    <row r="63" spans="2:21" x14ac:dyDescent="0.3">
      <c r="B63" s="1">
        <f t="shared" ca="1" si="17"/>
        <v>644</v>
      </c>
      <c r="C63" s="6">
        <f t="shared" ca="1" si="18"/>
        <v>670</v>
      </c>
      <c r="D63" s="1">
        <f t="shared" ca="1" si="19"/>
        <v>22</v>
      </c>
      <c r="E63" s="6">
        <f t="shared" ca="1" si="20"/>
        <v>692</v>
      </c>
      <c r="F63" s="6">
        <f t="shared" ca="1" si="21"/>
        <v>26</v>
      </c>
      <c r="G63" s="6">
        <f t="shared" ca="1" si="22"/>
        <v>0</v>
      </c>
      <c r="R63">
        <f t="shared" ca="1" si="1"/>
        <v>16</v>
      </c>
      <c r="U63">
        <f t="shared" ca="1" si="2"/>
        <v>22</v>
      </c>
    </row>
    <row r="64" spans="2:21" x14ac:dyDescent="0.3">
      <c r="B64" s="1">
        <f t="shared" ca="1" si="17"/>
        <v>660</v>
      </c>
      <c r="C64" s="6">
        <f t="shared" ca="1" si="18"/>
        <v>692</v>
      </c>
      <c r="D64" s="1">
        <f t="shared" ca="1" si="19"/>
        <v>11</v>
      </c>
      <c r="E64" s="6">
        <f t="shared" ca="1" si="20"/>
        <v>703</v>
      </c>
      <c r="F64" s="6">
        <f t="shared" ca="1" si="21"/>
        <v>32</v>
      </c>
      <c r="G64" s="6">
        <f t="shared" ca="1" si="22"/>
        <v>0</v>
      </c>
      <c r="R64">
        <f t="shared" ca="1" si="1"/>
        <v>16</v>
      </c>
      <c r="U64">
        <f t="shared" ca="1" si="2"/>
        <v>11</v>
      </c>
    </row>
    <row r="65" spans="2:21" x14ac:dyDescent="0.3">
      <c r="B65" s="1">
        <f t="shared" ca="1" si="17"/>
        <v>672</v>
      </c>
      <c r="C65" s="6">
        <f t="shared" ca="1" si="18"/>
        <v>703</v>
      </c>
      <c r="D65" s="1">
        <f t="shared" ca="1" si="19"/>
        <v>7</v>
      </c>
      <c r="E65" s="6">
        <f t="shared" ca="1" si="20"/>
        <v>710</v>
      </c>
      <c r="F65" s="6">
        <f t="shared" ca="1" si="21"/>
        <v>31</v>
      </c>
      <c r="G65" s="6">
        <f t="shared" ca="1" si="22"/>
        <v>0</v>
      </c>
      <c r="R65">
        <f t="shared" ca="1" si="1"/>
        <v>12</v>
      </c>
      <c r="U65">
        <f t="shared" ca="1" si="2"/>
        <v>7</v>
      </c>
    </row>
    <row r="66" spans="2:21" x14ac:dyDescent="0.3">
      <c r="B66" s="1">
        <f t="shared" ca="1" si="17"/>
        <v>680</v>
      </c>
      <c r="C66" s="6">
        <f t="shared" ca="1" si="18"/>
        <v>710</v>
      </c>
      <c r="D66" s="1">
        <f t="shared" ca="1" si="19"/>
        <v>18</v>
      </c>
      <c r="E66" s="6">
        <f t="shared" ca="1" si="20"/>
        <v>728</v>
      </c>
      <c r="F66" s="6">
        <f t="shared" ca="1" si="21"/>
        <v>30</v>
      </c>
      <c r="G66" s="6">
        <f t="shared" ca="1" si="22"/>
        <v>0</v>
      </c>
      <c r="R66">
        <f t="shared" ca="1" si="1"/>
        <v>8</v>
      </c>
      <c r="U66">
        <f t="shared" ca="1" si="2"/>
        <v>18</v>
      </c>
    </row>
    <row r="67" spans="2:21" x14ac:dyDescent="0.3">
      <c r="B67" s="1">
        <f t="shared" ca="1" si="17"/>
        <v>700</v>
      </c>
      <c r="C67" s="6">
        <f t="shared" ca="1" si="18"/>
        <v>728</v>
      </c>
      <c r="D67" s="1">
        <f t="shared" ca="1" si="19"/>
        <v>22</v>
      </c>
      <c r="E67" s="6">
        <f t="shared" ca="1" si="20"/>
        <v>750</v>
      </c>
      <c r="F67" s="6">
        <f t="shared" ca="1" si="21"/>
        <v>28</v>
      </c>
      <c r="G67" s="6">
        <f t="shared" ca="1" si="22"/>
        <v>0</v>
      </c>
      <c r="R67">
        <f t="shared" ca="1" si="1"/>
        <v>20</v>
      </c>
      <c r="U67">
        <f t="shared" ca="1" si="2"/>
        <v>22</v>
      </c>
    </row>
    <row r="68" spans="2:21" x14ac:dyDescent="0.3">
      <c r="B68" s="1">
        <f t="shared" ca="1" si="17"/>
        <v>712</v>
      </c>
      <c r="C68" s="6">
        <f t="shared" ca="1" si="18"/>
        <v>750</v>
      </c>
      <c r="D68" s="1">
        <f t="shared" ca="1" si="19"/>
        <v>7</v>
      </c>
      <c r="E68" s="6">
        <f t="shared" ca="1" si="20"/>
        <v>757</v>
      </c>
      <c r="F68" s="6">
        <f t="shared" ca="1" si="21"/>
        <v>38</v>
      </c>
      <c r="G68" s="6">
        <f t="shared" ca="1" si="22"/>
        <v>0</v>
      </c>
      <c r="R68">
        <f t="shared" ca="1" si="1"/>
        <v>12</v>
      </c>
      <c r="U68">
        <f t="shared" ca="1" si="2"/>
        <v>7</v>
      </c>
    </row>
    <row r="69" spans="2:21" x14ac:dyDescent="0.3">
      <c r="B69" s="1">
        <f t="shared" ca="1" si="17"/>
        <v>732</v>
      </c>
      <c r="C69" s="6">
        <f t="shared" ca="1" si="18"/>
        <v>757</v>
      </c>
      <c r="D69" s="1">
        <f t="shared" ca="1" si="19"/>
        <v>11</v>
      </c>
      <c r="E69" s="6">
        <f t="shared" ca="1" si="20"/>
        <v>768</v>
      </c>
      <c r="F69" s="6">
        <f t="shared" ca="1" si="21"/>
        <v>25</v>
      </c>
      <c r="G69" s="6">
        <f t="shared" ca="1" si="22"/>
        <v>0</v>
      </c>
      <c r="R69">
        <f t="shared" ca="1" si="1"/>
        <v>20</v>
      </c>
      <c r="U69">
        <f t="shared" ca="1" si="2"/>
        <v>11</v>
      </c>
    </row>
    <row r="70" spans="2:21" x14ac:dyDescent="0.3">
      <c r="B70" s="1">
        <f t="shared" ca="1" si="17"/>
        <v>740</v>
      </c>
      <c r="C70" s="6">
        <f t="shared" ca="1" si="18"/>
        <v>768</v>
      </c>
      <c r="D70" s="1">
        <f t="shared" ca="1" si="19"/>
        <v>20</v>
      </c>
      <c r="E70" s="6">
        <f t="shared" ca="1" si="20"/>
        <v>788</v>
      </c>
      <c r="F70" s="6">
        <f t="shared" ca="1" si="21"/>
        <v>28</v>
      </c>
      <c r="G70" s="6">
        <f t="shared" ca="1" si="22"/>
        <v>0</v>
      </c>
      <c r="R70">
        <f t="shared" ca="1" si="1"/>
        <v>8</v>
      </c>
      <c r="U70">
        <f t="shared" ca="1" si="2"/>
        <v>20</v>
      </c>
    </row>
    <row r="71" spans="2:21" x14ac:dyDescent="0.3">
      <c r="B71" s="1">
        <f t="shared" ca="1" si="17"/>
        <v>756</v>
      </c>
      <c r="C71" s="6">
        <f t="shared" ca="1" si="18"/>
        <v>788</v>
      </c>
      <c r="D71" s="1">
        <f t="shared" ca="1" si="19"/>
        <v>11</v>
      </c>
      <c r="E71" s="6">
        <f t="shared" ca="1" si="20"/>
        <v>799</v>
      </c>
      <c r="F71" s="6">
        <f t="shared" ca="1" si="21"/>
        <v>32</v>
      </c>
      <c r="G71" s="6">
        <f t="shared" ca="1" si="22"/>
        <v>0</v>
      </c>
      <c r="R71">
        <f t="shared" ca="1" si="1"/>
        <v>16</v>
      </c>
      <c r="U71">
        <f t="shared" ca="1" si="2"/>
        <v>11</v>
      </c>
    </row>
    <row r="72" spans="2:21" x14ac:dyDescent="0.3">
      <c r="B72" s="1">
        <f t="shared" ca="1" si="17"/>
        <v>768</v>
      </c>
      <c r="C72" s="6">
        <f t="shared" ca="1" si="18"/>
        <v>799</v>
      </c>
      <c r="D72" s="1">
        <f t="shared" ca="1" si="19"/>
        <v>7</v>
      </c>
      <c r="E72" s="6">
        <f t="shared" ca="1" si="20"/>
        <v>806</v>
      </c>
      <c r="F72" s="6">
        <f t="shared" ca="1" si="21"/>
        <v>31</v>
      </c>
      <c r="G72" s="6">
        <f t="shared" ca="1" si="22"/>
        <v>0</v>
      </c>
      <c r="R72">
        <f t="shared" ca="1" si="1"/>
        <v>12</v>
      </c>
      <c r="U72">
        <f t="shared" ca="1" si="2"/>
        <v>7</v>
      </c>
    </row>
    <row r="73" spans="2:21" x14ac:dyDescent="0.3">
      <c r="B73" s="1">
        <f t="shared" ca="1" si="17"/>
        <v>788</v>
      </c>
      <c r="C73" s="6">
        <f t="shared" ca="1" si="18"/>
        <v>806</v>
      </c>
      <c r="D73" s="1">
        <f t="shared" ca="1" si="19"/>
        <v>7</v>
      </c>
      <c r="E73" s="6">
        <f t="shared" ca="1" si="20"/>
        <v>813</v>
      </c>
      <c r="F73" s="6">
        <f t="shared" ca="1" si="21"/>
        <v>18</v>
      </c>
      <c r="G73" s="6">
        <f t="shared" ca="1" si="22"/>
        <v>0</v>
      </c>
      <c r="R73">
        <f t="shared" ca="1" si="1"/>
        <v>20</v>
      </c>
      <c r="U73">
        <f t="shared" ca="1" si="2"/>
        <v>7</v>
      </c>
    </row>
    <row r="74" spans="2:21" x14ac:dyDescent="0.3">
      <c r="B74" s="1">
        <f t="shared" ca="1" si="17"/>
        <v>800</v>
      </c>
      <c r="C74" s="6">
        <f t="shared" ca="1" si="18"/>
        <v>813</v>
      </c>
      <c r="D74" s="1">
        <f t="shared" ca="1" si="19"/>
        <v>11</v>
      </c>
      <c r="E74" s="6">
        <f t="shared" ca="1" si="20"/>
        <v>824</v>
      </c>
      <c r="F74" s="6">
        <f t="shared" ca="1" si="21"/>
        <v>13</v>
      </c>
      <c r="G74" s="6">
        <f t="shared" ca="1" si="22"/>
        <v>0</v>
      </c>
      <c r="R74">
        <f t="shared" ca="1" si="1"/>
        <v>12</v>
      </c>
      <c r="U74">
        <f t="shared" ca="1" si="2"/>
        <v>11</v>
      </c>
    </row>
    <row r="75" spans="2:21" x14ac:dyDescent="0.3">
      <c r="B75" s="1">
        <f t="shared" ca="1" si="17"/>
        <v>820</v>
      </c>
      <c r="C75" s="6">
        <f t="shared" ca="1" si="18"/>
        <v>824</v>
      </c>
      <c r="D75" s="1">
        <f t="shared" ca="1" si="19"/>
        <v>11</v>
      </c>
      <c r="E75" s="6">
        <f t="shared" ca="1" si="20"/>
        <v>835</v>
      </c>
      <c r="F75" s="6">
        <f t="shared" ca="1" si="21"/>
        <v>4</v>
      </c>
      <c r="G75" s="6">
        <f t="shared" ca="1" si="22"/>
        <v>0</v>
      </c>
      <c r="R75">
        <f t="shared" ca="1" si="1"/>
        <v>20</v>
      </c>
      <c r="U75">
        <f t="shared" ca="1" si="2"/>
        <v>11</v>
      </c>
    </row>
    <row r="76" spans="2:21" x14ac:dyDescent="0.3">
      <c r="B76" s="1">
        <f t="shared" ca="1" si="17"/>
        <v>832</v>
      </c>
      <c r="C76" s="6">
        <f t="shared" ca="1" si="18"/>
        <v>835</v>
      </c>
      <c r="D76" s="1">
        <f t="shared" ca="1" si="19"/>
        <v>11</v>
      </c>
      <c r="E76" s="6">
        <f t="shared" ca="1" si="20"/>
        <v>846</v>
      </c>
      <c r="F76" s="6">
        <f t="shared" ca="1" si="21"/>
        <v>3</v>
      </c>
      <c r="G76" s="6">
        <f t="shared" ca="1" si="22"/>
        <v>0</v>
      </c>
      <c r="R76">
        <f t="shared" ca="1" si="1"/>
        <v>12</v>
      </c>
      <c r="U76">
        <f t="shared" ca="1" si="2"/>
        <v>11</v>
      </c>
    </row>
    <row r="77" spans="2:21" x14ac:dyDescent="0.3">
      <c r="B77" s="1">
        <f t="shared" ca="1" si="17"/>
        <v>844</v>
      </c>
      <c r="C77" s="6">
        <f t="shared" ca="1" si="18"/>
        <v>846</v>
      </c>
      <c r="D77" s="1">
        <f t="shared" ca="1" si="19"/>
        <v>24</v>
      </c>
      <c r="E77" s="6">
        <f t="shared" ca="1" si="20"/>
        <v>870</v>
      </c>
      <c r="F77" s="6">
        <f t="shared" ca="1" si="21"/>
        <v>2</v>
      </c>
      <c r="G77" s="6">
        <f t="shared" ca="1" si="22"/>
        <v>0</v>
      </c>
      <c r="R77">
        <f t="shared" ca="1" si="1"/>
        <v>12</v>
      </c>
      <c r="U77">
        <f t="shared" ca="1" si="2"/>
        <v>24</v>
      </c>
    </row>
    <row r="78" spans="2:21" x14ac:dyDescent="0.3">
      <c r="B78" s="1">
        <f t="shared" ca="1" si="17"/>
        <v>856</v>
      </c>
      <c r="C78" s="6">
        <f t="shared" ca="1" si="18"/>
        <v>870</v>
      </c>
      <c r="D78" s="1">
        <f t="shared" ca="1" si="19"/>
        <v>18</v>
      </c>
      <c r="E78" s="6">
        <f t="shared" ca="1" si="20"/>
        <v>888</v>
      </c>
      <c r="F78" s="6">
        <f t="shared" ca="1" si="21"/>
        <v>14</v>
      </c>
      <c r="G78" s="6">
        <f t="shared" ca="1" si="22"/>
        <v>0</v>
      </c>
      <c r="R78">
        <f t="shared" ca="1" si="1"/>
        <v>12</v>
      </c>
      <c r="U78">
        <f t="shared" ca="1" si="2"/>
        <v>18</v>
      </c>
    </row>
    <row r="79" spans="2:21" x14ac:dyDescent="0.3">
      <c r="B79" s="1">
        <f t="shared" ca="1" si="17"/>
        <v>868</v>
      </c>
      <c r="C79" s="6">
        <f t="shared" ca="1" si="18"/>
        <v>888</v>
      </c>
      <c r="D79" s="1">
        <f t="shared" ca="1" si="19"/>
        <v>20</v>
      </c>
      <c r="E79" s="6">
        <f t="shared" ca="1" si="20"/>
        <v>908</v>
      </c>
      <c r="F79" s="6">
        <f t="shared" ca="1" si="21"/>
        <v>20</v>
      </c>
      <c r="G79" s="6">
        <f t="shared" ca="1" si="22"/>
        <v>0</v>
      </c>
      <c r="R79">
        <f t="shared" ca="1" si="1"/>
        <v>12</v>
      </c>
      <c r="U79">
        <f t="shared" ca="1" si="2"/>
        <v>20</v>
      </c>
    </row>
    <row r="80" spans="2:21" x14ac:dyDescent="0.3">
      <c r="B80" s="1">
        <f t="shared" ca="1" si="17"/>
        <v>876</v>
      </c>
      <c r="C80" s="6">
        <f t="shared" ca="1" si="18"/>
        <v>908</v>
      </c>
      <c r="D80" s="1">
        <f t="shared" ca="1" si="19"/>
        <v>15</v>
      </c>
      <c r="E80" s="6">
        <f t="shared" ca="1" si="20"/>
        <v>923</v>
      </c>
      <c r="F80" s="6">
        <f t="shared" ca="1" si="21"/>
        <v>32</v>
      </c>
      <c r="G80" s="6">
        <f t="shared" ca="1" si="22"/>
        <v>0</v>
      </c>
      <c r="R80">
        <f t="shared" ca="1" si="1"/>
        <v>8</v>
      </c>
      <c r="U80">
        <f t="shared" ca="1" si="2"/>
        <v>15</v>
      </c>
    </row>
    <row r="81" spans="2:21" x14ac:dyDescent="0.3">
      <c r="B81" s="1">
        <f t="shared" ca="1" si="17"/>
        <v>888</v>
      </c>
      <c r="C81" s="6">
        <f t="shared" ca="1" si="18"/>
        <v>923</v>
      </c>
      <c r="D81" s="1">
        <f t="shared" ca="1" si="19"/>
        <v>18</v>
      </c>
      <c r="E81" s="6">
        <f t="shared" ca="1" si="20"/>
        <v>941</v>
      </c>
      <c r="F81" s="6">
        <f t="shared" ca="1" si="21"/>
        <v>35</v>
      </c>
      <c r="G81" s="6">
        <f t="shared" ca="1" si="22"/>
        <v>0</v>
      </c>
      <c r="R81">
        <f t="shared" ca="1" si="1"/>
        <v>12</v>
      </c>
      <c r="U81">
        <f t="shared" ca="1" si="2"/>
        <v>18</v>
      </c>
    </row>
    <row r="82" spans="2:21" x14ac:dyDescent="0.3">
      <c r="B82" s="1">
        <f t="shared" ca="1" si="17"/>
        <v>900</v>
      </c>
      <c r="C82" s="6">
        <f t="shared" ca="1" si="18"/>
        <v>941</v>
      </c>
      <c r="D82" s="1">
        <f t="shared" ca="1" si="19"/>
        <v>20</v>
      </c>
      <c r="E82" s="6">
        <f t="shared" ca="1" si="20"/>
        <v>961</v>
      </c>
      <c r="F82" s="6">
        <f t="shared" ca="1" si="21"/>
        <v>41</v>
      </c>
      <c r="G82" s="6">
        <f t="shared" ca="1" si="22"/>
        <v>0</v>
      </c>
      <c r="R82">
        <f t="shared" ref="R82:R145" ca="1" si="23">VLOOKUP(RAND(),$Q$3:$R$6,2,TRUE)</f>
        <v>12</v>
      </c>
      <c r="U82">
        <f t="shared" ref="U82:U145" ca="1" si="24">VLOOKUP(RAND(),$T$3:$U$9,2,TRUE)</f>
        <v>20</v>
      </c>
    </row>
    <row r="83" spans="2:21" x14ac:dyDescent="0.3">
      <c r="B83" s="1">
        <f t="shared" ca="1" si="17"/>
        <v>912</v>
      </c>
      <c r="C83" s="6">
        <f t="shared" ca="1" si="18"/>
        <v>961</v>
      </c>
      <c r="D83" s="1">
        <f t="shared" ca="1" si="19"/>
        <v>18</v>
      </c>
      <c r="E83" s="6">
        <f t="shared" ca="1" si="20"/>
        <v>979</v>
      </c>
      <c r="F83" s="6">
        <f t="shared" ca="1" si="21"/>
        <v>49</v>
      </c>
      <c r="G83" s="6">
        <f t="shared" ca="1" si="22"/>
        <v>0</v>
      </c>
      <c r="R83">
        <f t="shared" ca="1" si="23"/>
        <v>12</v>
      </c>
      <c r="U83">
        <f t="shared" ca="1" si="24"/>
        <v>18</v>
      </c>
    </row>
    <row r="84" spans="2:21" x14ac:dyDescent="0.3">
      <c r="B84" s="1">
        <f t="shared" ca="1" si="17"/>
        <v>920</v>
      </c>
      <c r="C84" s="6">
        <f t="shared" ca="1" si="18"/>
        <v>979</v>
      </c>
      <c r="D84" s="1">
        <f t="shared" ca="1" si="19"/>
        <v>20</v>
      </c>
      <c r="E84" s="6">
        <f t="shared" ca="1" si="20"/>
        <v>999</v>
      </c>
      <c r="F84" s="6">
        <f t="shared" ca="1" si="21"/>
        <v>59</v>
      </c>
      <c r="G84" s="6">
        <f t="shared" ca="1" si="22"/>
        <v>0</v>
      </c>
      <c r="R84">
        <f t="shared" ca="1" si="23"/>
        <v>8</v>
      </c>
      <c r="U84">
        <f t="shared" ca="1" si="24"/>
        <v>20</v>
      </c>
    </row>
    <row r="85" spans="2:21" x14ac:dyDescent="0.3">
      <c r="B85" s="1">
        <f t="shared" ca="1" si="17"/>
        <v>928</v>
      </c>
      <c r="C85" s="6">
        <f t="shared" ca="1" si="18"/>
        <v>999</v>
      </c>
      <c r="D85" s="1">
        <f t="shared" ca="1" si="19"/>
        <v>7</v>
      </c>
      <c r="E85" s="6">
        <f t="shared" ca="1" si="20"/>
        <v>1006</v>
      </c>
      <c r="F85" s="6">
        <f t="shared" ca="1" si="21"/>
        <v>71</v>
      </c>
      <c r="G85" s="6">
        <f t="shared" ca="1" si="22"/>
        <v>0</v>
      </c>
      <c r="R85">
        <f t="shared" ca="1" si="23"/>
        <v>8</v>
      </c>
      <c r="U85">
        <f t="shared" ca="1" si="24"/>
        <v>7</v>
      </c>
    </row>
    <row r="86" spans="2:21" x14ac:dyDescent="0.3">
      <c r="B86" s="1">
        <f t="shared" ca="1" si="17"/>
        <v>940</v>
      </c>
      <c r="C86" s="6">
        <f t="shared" ca="1" si="18"/>
        <v>1006</v>
      </c>
      <c r="D86" s="1">
        <f t="shared" ca="1" si="19"/>
        <v>7</v>
      </c>
      <c r="E86" s="6">
        <f t="shared" ca="1" si="20"/>
        <v>1013</v>
      </c>
      <c r="F86" s="6">
        <f t="shared" ca="1" si="21"/>
        <v>66</v>
      </c>
      <c r="G86" s="6">
        <f t="shared" ca="1" si="22"/>
        <v>0</v>
      </c>
      <c r="R86">
        <f t="shared" ca="1" si="23"/>
        <v>12</v>
      </c>
      <c r="U86">
        <f t="shared" ca="1" si="24"/>
        <v>7</v>
      </c>
    </row>
    <row r="87" spans="2:21" x14ac:dyDescent="0.3">
      <c r="B87" s="1">
        <f t="shared" ca="1" si="17"/>
        <v>960</v>
      </c>
      <c r="C87" s="6">
        <f t="shared" ca="1" si="18"/>
        <v>1013</v>
      </c>
      <c r="D87" s="1">
        <f t="shared" ca="1" si="19"/>
        <v>7</v>
      </c>
      <c r="E87" s="6">
        <f t="shared" ca="1" si="20"/>
        <v>1020</v>
      </c>
      <c r="F87" s="6">
        <f t="shared" ca="1" si="21"/>
        <v>53</v>
      </c>
      <c r="G87" s="6">
        <f t="shared" ca="1" si="22"/>
        <v>0</v>
      </c>
      <c r="R87">
        <f t="shared" ca="1" si="23"/>
        <v>20</v>
      </c>
      <c r="U87">
        <f t="shared" ca="1" si="24"/>
        <v>7</v>
      </c>
    </row>
    <row r="88" spans="2:21" x14ac:dyDescent="0.3">
      <c r="B88" s="1">
        <f t="shared" ca="1" si="17"/>
        <v>972</v>
      </c>
      <c r="C88" s="6">
        <f t="shared" ca="1" si="18"/>
        <v>1020</v>
      </c>
      <c r="D88" s="1">
        <f t="shared" ca="1" si="19"/>
        <v>22</v>
      </c>
      <c r="E88" s="6">
        <f t="shared" ca="1" si="20"/>
        <v>1042</v>
      </c>
      <c r="F88" s="6">
        <f ca="1">C88-B88</f>
        <v>48</v>
      </c>
      <c r="G88" s="6">
        <f t="shared" ca="1" si="22"/>
        <v>0</v>
      </c>
      <c r="R88">
        <f t="shared" ca="1" si="23"/>
        <v>12</v>
      </c>
      <c r="U88">
        <f t="shared" ca="1" si="24"/>
        <v>22</v>
      </c>
    </row>
    <row r="89" spans="2:21" x14ac:dyDescent="0.3">
      <c r="B89" s="1">
        <f t="shared" ca="1" si="17"/>
        <v>988</v>
      </c>
      <c r="C89" s="6">
        <f t="shared" ca="1" si="18"/>
        <v>1042</v>
      </c>
      <c r="D89" s="1">
        <f t="shared" ca="1" si="19"/>
        <v>18</v>
      </c>
      <c r="E89" s="6">
        <f t="shared" ca="1" si="20"/>
        <v>1060</v>
      </c>
      <c r="F89" s="6">
        <f t="shared" ca="1" si="21"/>
        <v>54</v>
      </c>
      <c r="G89" s="6">
        <f t="shared" ca="1" si="22"/>
        <v>0</v>
      </c>
      <c r="R89">
        <f t="shared" ca="1" si="23"/>
        <v>16</v>
      </c>
      <c r="U89">
        <f t="shared" ca="1" si="24"/>
        <v>18</v>
      </c>
    </row>
    <row r="90" spans="2:21" x14ac:dyDescent="0.3">
      <c r="B90" s="1">
        <f t="shared" ca="1" si="17"/>
        <v>996</v>
      </c>
      <c r="C90" s="6">
        <f t="shared" ca="1" si="18"/>
        <v>1060</v>
      </c>
      <c r="D90" s="1">
        <f t="shared" ca="1" si="19"/>
        <v>11</v>
      </c>
      <c r="E90" s="6">
        <f t="shared" ca="1" si="20"/>
        <v>1071</v>
      </c>
      <c r="F90" s="6">
        <f t="shared" ca="1" si="21"/>
        <v>64</v>
      </c>
      <c r="G90" s="6">
        <f t="shared" ca="1" si="22"/>
        <v>0</v>
      </c>
      <c r="R90">
        <f t="shared" ca="1" si="23"/>
        <v>8</v>
      </c>
      <c r="U90">
        <f t="shared" ca="1" si="24"/>
        <v>11</v>
      </c>
    </row>
    <row r="91" spans="2:21" x14ac:dyDescent="0.3">
      <c r="B91" s="1">
        <f t="shared" ca="1" si="17"/>
        <v>1008</v>
      </c>
      <c r="C91" s="6">
        <f t="shared" ca="1" si="18"/>
        <v>1071</v>
      </c>
      <c r="D91" s="1">
        <f t="shared" ca="1" si="19"/>
        <v>7</v>
      </c>
      <c r="E91" s="6">
        <f t="shared" ca="1" si="20"/>
        <v>1078</v>
      </c>
      <c r="F91" s="6">
        <f t="shared" ca="1" si="21"/>
        <v>63</v>
      </c>
      <c r="G91" s="6">
        <f t="shared" ca="1" si="22"/>
        <v>0</v>
      </c>
      <c r="R91">
        <f t="shared" ca="1" si="23"/>
        <v>12</v>
      </c>
      <c r="U91">
        <f t="shared" ca="1" si="24"/>
        <v>7</v>
      </c>
    </row>
    <row r="92" spans="2:21" x14ac:dyDescent="0.3">
      <c r="B92" s="1">
        <f t="shared" ca="1" si="17"/>
        <v>1024</v>
      </c>
      <c r="C92" s="6">
        <f t="shared" ca="1" si="18"/>
        <v>1078</v>
      </c>
      <c r="D92" s="1">
        <f t="shared" ca="1" si="19"/>
        <v>15</v>
      </c>
      <c r="E92" s="6">
        <f t="shared" ca="1" si="20"/>
        <v>1093</v>
      </c>
      <c r="F92" s="6">
        <f t="shared" ca="1" si="21"/>
        <v>54</v>
      </c>
      <c r="G92" s="6">
        <f t="shared" ca="1" si="22"/>
        <v>0</v>
      </c>
      <c r="R92">
        <f t="shared" ca="1" si="23"/>
        <v>16</v>
      </c>
      <c r="U92">
        <f t="shared" ca="1" si="24"/>
        <v>15</v>
      </c>
    </row>
    <row r="93" spans="2:21" x14ac:dyDescent="0.3">
      <c r="B93" s="1">
        <f t="shared" ca="1" si="17"/>
        <v>1036</v>
      </c>
      <c r="C93" s="6">
        <f t="shared" ca="1" si="18"/>
        <v>1093</v>
      </c>
      <c r="D93" s="1">
        <f t="shared" ca="1" si="19"/>
        <v>7</v>
      </c>
      <c r="E93" s="6">
        <f t="shared" ca="1" si="20"/>
        <v>1100</v>
      </c>
      <c r="F93" s="6">
        <f t="shared" ca="1" si="21"/>
        <v>57</v>
      </c>
      <c r="G93" s="6">
        <f t="shared" ca="1" si="22"/>
        <v>0</v>
      </c>
      <c r="R93">
        <f t="shared" ca="1" si="23"/>
        <v>12</v>
      </c>
      <c r="U93">
        <f t="shared" ca="1" si="24"/>
        <v>7</v>
      </c>
    </row>
    <row r="94" spans="2:21" x14ac:dyDescent="0.3">
      <c r="B94" s="1">
        <f t="shared" ca="1" si="17"/>
        <v>1056</v>
      </c>
      <c r="C94" s="6">
        <f t="shared" ca="1" si="18"/>
        <v>1100</v>
      </c>
      <c r="D94" s="1">
        <f t="shared" ca="1" si="19"/>
        <v>11</v>
      </c>
      <c r="E94" s="6">
        <f t="shared" ca="1" si="20"/>
        <v>1111</v>
      </c>
      <c r="F94" s="6">
        <f t="shared" ca="1" si="21"/>
        <v>44</v>
      </c>
      <c r="G94" s="6">
        <f t="shared" ca="1" si="22"/>
        <v>0</v>
      </c>
      <c r="R94">
        <f t="shared" ca="1" si="23"/>
        <v>20</v>
      </c>
      <c r="U94">
        <f t="shared" ca="1" si="24"/>
        <v>11</v>
      </c>
    </row>
    <row r="95" spans="2:21" x14ac:dyDescent="0.3">
      <c r="B95" s="1">
        <f t="shared" ca="1" si="17"/>
        <v>1064</v>
      </c>
      <c r="C95" s="6">
        <f t="shared" ca="1" si="18"/>
        <v>1111</v>
      </c>
      <c r="D95" s="1">
        <f t="shared" ca="1" si="19"/>
        <v>7</v>
      </c>
      <c r="E95" s="6">
        <f t="shared" ca="1" si="20"/>
        <v>1118</v>
      </c>
      <c r="F95" s="6">
        <f t="shared" ca="1" si="21"/>
        <v>47</v>
      </c>
      <c r="G95" s="6">
        <f t="shared" ca="1" si="22"/>
        <v>0</v>
      </c>
      <c r="R95">
        <f t="shared" ca="1" si="23"/>
        <v>8</v>
      </c>
      <c r="U95">
        <f t="shared" ca="1" si="24"/>
        <v>7</v>
      </c>
    </row>
    <row r="96" spans="2:21" x14ac:dyDescent="0.3">
      <c r="B96" s="1">
        <f t="shared" ca="1" si="17"/>
        <v>1076</v>
      </c>
      <c r="C96" s="6">
        <f t="shared" ca="1" si="18"/>
        <v>1118</v>
      </c>
      <c r="D96" s="1">
        <f t="shared" ca="1" si="19"/>
        <v>7</v>
      </c>
      <c r="E96" s="6">
        <f t="shared" ca="1" si="20"/>
        <v>1125</v>
      </c>
      <c r="F96" s="6">
        <f t="shared" ca="1" si="21"/>
        <v>42</v>
      </c>
      <c r="G96" s="6">
        <f t="shared" ca="1" si="22"/>
        <v>0</v>
      </c>
      <c r="R96">
        <f t="shared" ca="1" si="23"/>
        <v>12</v>
      </c>
      <c r="U96">
        <f t="shared" ca="1" si="24"/>
        <v>7</v>
      </c>
    </row>
    <row r="97" spans="2:21" x14ac:dyDescent="0.3">
      <c r="B97" s="1">
        <f t="shared" ca="1" si="17"/>
        <v>1088</v>
      </c>
      <c r="C97" s="6">
        <f t="shared" ca="1" si="18"/>
        <v>1125</v>
      </c>
      <c r="D97" s="1">
        <f t="shared" ca="1" si="19"/>
        <v>18</v>
      </c>
      <c r="E97" s="6">
        <f t="shared" ca="1" si="20"/>
        <v>1143</v>
      </c>
      <c r="F97" s="6">
        <f t="shared" ca="1" si="21"/>
        <v>37</v>
      </c>
      <c r="G97" s="6">
        <f t="shared" ca="1" si="22"/>
        <v>0</v>
      </c>
      <c r="R97">
        <f t="shared" ca="1" si="23"/>
        <v>12</v>
      </c>
      <c r="U97">
        <f t="shared" ca="1" si="24"/>
        <v>18</v>
      </c>
    </row>
    <row r="98" spans="2:21" x14ac:dyDescent="0.3">
      <c r="B98" s="1">
        <f t="shared" ca="1" si="17"/>
        <v>1100</v>
      </c>
      <c r="C98" s="6">
        <f t="shared" ca="1" si="18"/>
        <v>1143</v>
      </c>
      <c r="D98" s="1">
        <f t="shared" ca="1" si="19"/>
        <v>7</v>
      </c>
      <c r="E98" s="6">
        <f t="shared" ca="1" si="20"/>
        <v>1150</v>
      </c>
      <c r="F98" s="6">
        <f t="shared" ca="1" si="21"/>
        <v>43</v>
      </c>
      <c r="G98" s="6">
        <f t="shared" ca="1" si="22"/>
        <v>0</v>
      </c>
      <c r="R98">
        <f t="shared" ca="1" si="23"/>
        <v>12</v>
      </c>
      <c r="U98">
        <f t="shared" ca="1" si="24"/>
        <v>7</v>
      </c>
    </row>
    <row r="99" spans="2:21" x14ac:dyDescent="0.3">
      <c r="B99" s="1">
        <f t="shared" ca="1" si="17"/>
        <v>1120</v>
      </c>
      <c r="C99" s="6">
        <f t="shared" ca="1" si="18"/>
        <v>1150</v>
      </c>
      <c r="D99" s="1">
        <f t="shared" ca="1" si="19"/>
        <v>7</v>
      </c>
      <c r="E99" s="6">
        <f t="shared" ca="1" si="20"/>
        <v>1157</v>
      </c>
      <c r="F99" s="6">
        <f t="shared" ca="1" si="21"/>
        <v>30</v>
      </c>
      <c r="G99" s="6">
        <f t="shared" ca="1" si="22"/>
        <v>0</v>
      </c>
      <c r="R99">
        <f t="shared" ca="1" si="23"/>
        <v>20</v>
      </c>
      <c r="U99">
        <f t="shared" ca="1" si="24"/>
        <v>7</v>
      </c>
    </row>
    <row r="100" spans="2:21" x14ac:dyDescent="0.3">
      <c r="B100" s="1">
        <f t="shared" ca="1" si="17"/>
        <v>1128</v>
      </c>
      <c r="C100" s="6">
        <f t="shared" ca="1" si="18"/>
        <v>1157</v>
      </c>
      <c r="D100" s="1">
        <f t="shared" ca="1" si="19"/>
        <v>18</v>
      </c>
      <c r="E100" s="6">
        <f t="shared" ca="1" si="20"/>
        <v>1175</v>
      </c>
      <c r="F100" s="6">
        <f t="shared" ca="1" si="21"/>
        <v>29</v>
      </c>
      <c r="G100" s="6">
        <f t="shared" ca="1" si="22"/>
        <v>0</v>
      </c>
      <c r="R100">
        <f t="shared" ca="1" si="23"/>
        <v>8</v>
      </c>
      <c r="U100">
        <f t="shared" ca="1" si="24"/>
        <v>18</v>
      </c>
    </row>
    <row r="101" spans="2:21" x14ac:dyDescent="0.3">
      <c r="B101" s="1">
        <f t="shared" ca="1" si="17"/>
        <v>1140</v>
      </c>
      <c r="C101" s="6">
        <f t="shared" ca="1" si="18"/>
        <v>1175</v>
      </c>
      <c r="D101" s="1">
        <f t="shared" ca="1" si="19"/>
        <v>15</v>
      </c>
      <c r="E101" s="6">
        <f t="shared" ca="1" si="20"/>
        <v>1190</v>
      </c>
      <c r="F101" s="6">
        <f t="shared" ca="1" si="21"/>
        <v>35</v>
      </c>
      <c r="G101" s="6">
        <f t="shared" ca="1" si="22"/>
        <v>0</v>
      </c>
      <c r="R101">
        <f t="shared" ca="1" si="23"/>
        <v>12</v>
      </c>
      <c r="U101">
        <f t="shared" ca="1" si="24"/>
        <v>15</v>
      </c>
    </row>
    <row r="102" spans="2:21" x14ac:dyDescent="0.3">
      <c r="B102" s="1">
        <f t="shared" ca="1" si="17"/>
        <v>1148</v>
      </c>
      <c r="C102" s="6">
        <f t="shared" ca="1" si="18"/>
        <v>1190</v>
      </c>
      <c r="D102" s="1">
        <f t="shared" ca="1" si="19"/>
        <v>22</v>
      </c>
      <c r="E102" s="6">
        <f t="shared" ca="1" si="20"/>
        <v>1212</v>
      </c>
      <c r="F102" s="6">
        <f t="shared" ca="1" si="21"/>
        <v>42</v>
      </c>
      <c r="G102" s="6">
        <f t="shared" ca="1" si="22"/>
        <v>0</v>
      </c>
      <c r="R102">
        <f t="shared" ca="1" si="23"/>
        <v>8</v>
      </c>
      <c r="U102">
        <f t="shared" ca="1" si="24"/>
        <v>22</v>
      </c>
    </row>
    <row r="103" spans="2:21" x14ac:dyDescent="0.3">
      <c r="B103" s="1">
        <f t="shared" ca="1" si="17"/>
        <v>1160</v>
      </c>
      <c r="C103" s="6">
        <f t="shared" ca="1" si="18"/>
        <v>1212</v>
      </c>
      <c r="D103" s="1">
        <f t="shared" ca="1" si="19"/>
        <v>22</v>
      </c>
      <c r="E103" s="6">
        <f t="shared" ca="1" si="20"/>
        <v>1234</v>
      </c>
      <c r="F103" s="6">
        <f t="shared" ca="1" si="21"/>
        <v>52</v>
      </c>
      <c r="G103" s="6">
        <f t="shared" ca="1" si="22"/>
        <v>0</v>
      </c>
      <c r="R103">
        <f t="shared" ca="1" si="23"/>
        <v>12</v>
      </c>
      <c r="U103">
        <f t="shared" ca="1" si="24"/>
        <v>22</v>
      </c>
    </row>
    <row r="104" spans="2:21" x14ac:dyDescent="0.3">
      <c r="B104" s="1">
        <f t="shared" ca="1" si="17"/>
        <v>1180</v>
      </c>
      <c r="C104" s="6">
        <f t="shared" ca="1" si="18"/>
        <v>1234</v>
      </c>
      <c r="D104" s="1">
        <f t="shared" ca="1" si="19"/>
        <v>7</v>
      </c>
      <c r="E104" s="6">
        <f t="shared" ca="1" si="20"/>
        <v>1241</v>
      </c>
      <c r="F104" s="6">
        <f t="shared" ca="1" si="21"/>
        <v>54</v>
      </c>
      <c r="G104" s="6">
        <f t="shared" ca="1" si="22"/>
        <v>0</v>
      </c>
      <c r="R104">
        <f t="shared" ca="1" si="23"/>
        <v>20</v>
      </c>
      <c r="U104">
        <f t="shared" ca="1" si="24"/>
        <v>7</v>
      </c>
    </row>
    <row r="105" spans="2:21" x14ac:dyDescent="0.3">
      <c r="B105" s="1">
        <f t="shared" ca="1" si="17"/>
        <v>1192</v>
      </c>
      <c r="C105" s="6">
        <f t="shared" ca="1" si="18"/>
        <v>1241</v>
      </c>
      <c r="D105" s="1">
        <f t="shared" ca="1" si="19"/>
        <v>11</v>
      </c>
      <c r="E105" s="6">
        <f t="shared" ca="1" si="20"/>
        <v>1252</v>
      </c>
      <c r="F105" s="6">
        <f t="shared" ca="1" si="21"/>
        <v>49</v>
      </c>
      <c r="G105" s="6">
        <f t="shared" ca="1" si="22"/>
        <v>0</v>
      </c>
      <c r="R105">
        <f t="shared" ca="1" si="23"/>
        <v>12</v>
      </c>
      <c r="U105">
        <f t="shared" ca="1" si="24"/>
        <v>11</v>
      </c>
    </row>
    <row r="106" spans="2:21" x14ac:dyDescent="0.3">
      <c r="B106" s="1">
        <f t="shared" ca="1" si="17"/>
        <v>1204</v>
      </c>
      <c r="C106" s="6">
        <f t="shared" ca="1" si="18"/>
        <v>1252</v>
      </c>
      <c r="D106" s="1">
        <f t="shared" ca="1" si="19"/>
        <v>18</v>
      </c>
      <c r="E106" s="6">
        <f t="shared" ca="1" si="20"/>
        <v>1270</v>
      </c>
      <c r="F106" s="6">
        <f t="shared" ca="1" si="21"/>
        <v>48</v>
      </c>
      <c r="G106" s="6">
        <f t="shared" ca="1" si="22"/>
        <v>0</v>
      </c>
      <c r="R106">
        <f t="shared" ca="1" si="23"/>
        <v>12</v>
      </c>
      <c r="U106">
        <f t="shared" ca="1" si="24"/>
        <v>18</v>
      </c>
    </row>
    <row r="107" spans="2:21" x14ac:dyDescent="0.3">
      <c r="B107" s="1">
        <f t="shared" ca="1" si="17"/>
        <v>1216</v>
      </c>
      <c r="C107" s="6">
        <f t="shared" ca="1" si="18"/>
        <v>1270</v>
      </c>
      <c r="D107" s="1">
        <f t="shared" ca="1" si="19"/>
        <v>11</v>
      </c>
      <c r="E107" s="6">
        <f t="shared" ca="1" si="20"/>
        <v>1281</v>
      </c>
      <c r="F107" s="6">
        <f t="shared" ca="1" si="21"/>
        <v>54</v>
      </c>
      <c r="G107" s="6">
        <f t="shared" ca="1" si="22"/>
        <v>0</v>
      </c>
      <c r="R107">
        <f t="shared" ca="1" si="23"/>
        <v>12</v>
      </c>
      <c r="U107">
        <f t="shared" ca="1" si="24"/>
        <v>11</v>
      </c>
    </row>
    <row r="108" spans="2:21" x14ac:dyDescent="0.3">
      <c r="B108" s="1">
        <f t="shared" ca="1" si="17"/>
        <v>1224</v>
      </c>
      <c r="C108" s="6">
        <f t="shared" ca="1" si="18"/>
        <v>1281</v>
      </c>
      <c r="D108" s="1">
        <f t="shared" ca="1" si="19"/>
        <v>7</v>
      </c>
      <c r="E108" s="6">
        <f t="shared" ca="1" si="20"/>
        <v>1288</v>
      </c>
      <c r="F108" s="6">
        <f t="shared" ca="1" si="21"/>
        <v>57</v>
      </c>
      <c r="G108" s="6">
        <f t="shared" ca="1" si="22"/>
        <v>0</v>
      </c>
      <c r="R108">
        <f t="shared" ca="1" si="23"/>
        <v>8</v>
      </c>
      <c r="U108">
        <f t="shared" ca="1" si="24"/>
        <v>7</v>
      </c>
    </row>
    <row r="109" spans="2:21" x14ac:dyDescent="0.3">
      <c r="B109" s="1">
        <f t="shared" ca="1" si="17"/>
        <v>1236</v>
      </c>
      <c r="C109" s="6">
        <f t="shared" ca="1" si="18"/>
        <v>1288</v>
      </c>
      <c r="D109" s="1">
        <f t="shared" ca="1" si="19"/>
        <v>22</v>
      </c>
      <c r="E109" s="6">
        <f t="shared" ca="1" si="20"/>
        <v>1310</v>
      </c>
      <c r="F109" s="6">
        <f t="shared" ca="1" si="21"/>
        <v>52</v>
      </c>
      <c r="G109" s="6">
        <f t="shared" ca="1" si="22"/>
        <v>0</v>
      </c>
      <c r="R109">
        <f t="shared" ca="1" si="23"/>
        <v>12</v>
      </c>
      <c r="U109">
        <f t="shared" ca="1" si="24"/>
        <v>22</v>
      </c>
    </row>
    <row r="110" spans="2:21" x14ac:dyDescent="0.3">
      <c r="B110" s="1">
        <f t="shared" ca="1" si="17"/>
        <v>1248</v>
      </c>
      <c r="C110" s="6">
        <f t="shared" ca="1" si="18"/>
        <v>1310</v>
      </c>
      <c r="D110" s="1">
        <f t="shared" ca="1" si="19"/>
        <v>24</v>
      </c>
      <c r="E110" s="6">
        <f t="shared" ca="1" si="20"/>
        <v>1334</v>
      </c>
      <c r="F110" s="6">
        <f t="shared" ca="1" si="21"/>
        <v>62</v>
      </c>
      <c r="G110" s="6">
        <f t="shared" ca="1" si="22"/>
        <v>0</v>
      </c>
      <c r="R110">
        <f t="shared" ca="1" si="23"/>
        <v>12</v>
      </c>
      <c r="U110">
        <f t="shared" ca="1" si="24"/>
        <v>24</v>
      </c>
    </row>
    <row r="111" spans="2:21" x14ac:dyDescent="0.3">
      <c r="B111" s="1">
        <f t="shared" ref="B111:B116" ca="1" si="25">R111+B110</f>
        <v>1268</v>
      </c>
      <c r="C111" s="6">
        <f t="shared" ref="C111:C116" ca="1" si="26">MAX(B111,E110)</f>
        <v>1334</v>
      </c>
      <c r="D111" s="1">
        <f t="shared" ref="D111:D116" ca="1" si="27">U111</f>
        <v>15</v>
      </c>
      <c r="E111" s="6">
        <f t="shared" ref="E111:E116" ca="1" si="28">C111+D111</f>
        <v>1349</v>
      </c>
      <c r="F111" s="6">
        <f t="shared" ref="F111:F116" ca="1" si="29">C111-B111</f>
        <v>66</v>
      </c>
      <c r="G111" s="6">
        <f t="shared" ref="G111:G116" ca="1" si="30">C111-E110</f>
        <v>0</v>
      </c>
      <c r="R111">
        <f t="shared" ca="1" si="23"/>
        <v>20</v>
      </c>
      <c r="U111">
        <f t="shared" ca="1" si="24"/>
        <v>15</v>
      </c>
    </row>
    <row r="112" spans="2:21" x14ac:dyDescent="0.3">
      <c r="B112" s="1">
        <f t="shared" ca="1" si="25"/>
        <v>1280</v>
      </c>
      <c r="C112" s="6">
        <f t="shared" ca="1" si="26"/>
        <v>1349</v>
      </c>
      <c r="D112" s="1">
        <f t="shared" ca="1" si="27"/>
        <v>11</v>
      </c>
      <c r="E112" s="6">
        <f t="shared" ca="1" si="28"/>
        <v>1360</v>
      </c>
      <c r="F112" s="6">
        <f t="shared" ca="1" si="29"/>
        <v>69</v>
      </c>
      <c r="G112" s="6">
        <f t="shared" ca="1" si="30"/>
        <v>0</v>
      </c>
      <c r="R112">
        <f t="shared" ca="1" si="23"/>
        <v>12</v>
      </c>
      <c r="U112">
        <f t="shared" ca="1" si="24"/>
        <v>11</v>
      </c>
    </row>
    <row r="113" spans="2:21" x14ac:dyDescent="0.3">
      <c r="B113" s="1">
        <f t="shared" ca="1" si="25"/>
        <v>1300</v>
      </c>
      <c r="C113" s="6">
        <f t="shared" ca="1" si="26"/>
        <v>1360</v>
      </c>
      <c r="D113" s="1">
        <f t="shared" ca="1" si="27"/>
        <v>11</v>
      </c>
      <c r="E113" s="6">
        <f t="shared" ca="1" si="28"/>
        <v>1371</v>
      </c>
      <c r="F113" s="6">
        <f t="shared" ca="1" si="29"/>
        <v>60</v>
      </c>
      <c r="G113" s="6">
        <f t="shared" ca="1" si="30"/>
        <v>0</v>
      </c>
      <c r="R113">
        <f t="shared" ca="1" si="23"/>
        <v>20</v>
      </c>
      <c r="U113">
        <f t="shared" ca="1" si="24"/>
        <v>11</v>
      </c>
    </row>
    <row r="114" spans="2:21" x14ac:dyDescent="0.3">
      <c r="B114" s="1">
        <f t="shared" ca="1" si="25"/>
        <v>1316</v>
      </c>
      <c r="C114" s="6">
        <f t="shared" ca="1" si="26"/>
        <v>1371</v>
      </c>
      <c r="D114" s="1">
        <f t="shared" ca="1" si="27"/>
        <v>15</v>
      </c>
      <c r="E114" s="6">
        <f t="shared" ca="1" si="28"/>
        <v>1386</v>
      </c>
      <c r="F114" s="6">
        <f t="shared" ca="1" si="29"/>
        <v>55</v>
      </c>
      <c r="G114" s="6">
        <f t="shared" ca="1" si="30"/>
        <v>0</v>
      </c>
      <c r="R114">
        <f t="shared" ca="1" si="23"/>
        <v>16</v>
      </c>
      <c r="U114">
        <f t="shared" ca="1" si="24"/>
        <v>15</v>
      </c>
    </row>
    <row r="115" spans="2:21" x14ac:dyDescent="0.3">
      <c r="B115" s="1">
        <f t="shared" ca="1" si="25"/>
        <v>1328</v>
      </c>
      <c r="C115" s="6">
        <f t="shared" ca="1" si="26"/>
        <v>1386</v>
      </c>
      <c r="D115" s="1">
        <f t="shared" ca="1" si="27"/>
        <v>20</v>
      </c>
      <c r="E115" s="6">
        <f t="shared" ca="1" si="28"/>
        <v>1406</v>
      </c>
      <c r="F115" s="6">
        <f t="shared" ca="1" si="29"/>
        <v>58</v>
      </c>
      <c r="G115" s="6">
        <f t="shared" ca="1" si="30"/>
        <v>0</v>
      </c>
      <c r="R115">
        <f t="shared" ca="1" si="23"/>
        <v>12</v>
      </c>
      <c r="U115">
        <f t="shared" ca="1" si="24"/>
        <v>20</v>
      </c>
    </row>
    <row r="116" spans="2:21" x14ac:dyDescent="0.3">
      <c r="B116" s="1">
        <f t="shared" ca="1" si="25"/>
        <v>1344</v>
      </c>
      <c r="C116" s="6">
        <f t="shared" ca="1" si="26"/>
        <v>1406</v>
      </c>
      <c r="D116" s="1">
        <f t="shared" ca="1" si="27"/>
        <v>11</v>
      </c>
      <c r="E116" s="6">
        <f t="shared" ca="1" si="28"/>
        <v>1417</v>
      </c>
      <c r="F116" s="6">
        <f t="shared" ca="1" si="29"/>
        <v>62</v>
      </c>
      <c r="G116" s="6">
        <f t="shared" ca="1" si="30"/>
        <v>0</v>
      </c>
      <c r="R116">
        <f t="shared" ca="1" si="23"/>
        <v>16</v>
      </c>
      <c r="U116">
        <f t="shared" ca="1" si="24"/>
        <v>11</v>
      </c>
    </row>
    <row r="117" spans="2:21" x14ac:dyDescent="0.3">
      <c r="B117" s="1">
        <f t="shared" ref="B117:B162" ca="1" si="31">R117+B116</f>
        <v>1360</v>
      </c>
      <c r="C117" s="6">
        <f t="shared" ref="C117:C162" ca="1" si="32">MAX(B117,E116)</f>
        <v>1417</v>
      </c>
      <c r="D117" s="1">
        <f t="shared" ref="D117:D162" ca="1" si="33">U117</f>
        <v>15</v>
      </c>
      <c r="E117" s="6">
        <f t="shared" ref="E117:E162" ca="1" si="34">C117+D117</f>
        <v>1432</v>
      </c>
      <c r="F117" s="6">
        <f t="shared" ref="F117:F162" ca="1" si="35">C117-B117</f>
        <v>57</v>
      </c>
      <c r="G117" s="6">
        <f t="shared" ref="G117:G162" ca="1" si="36">C117-E116</f>
        <v>0</v>
      </c>
      <c r="R117">
        <f t="shared" ca="1" si="23"/>
        <v>16</v>
      </c>
      <c r="U117">
        <f t="shared" ca="1" si="24"/>
        <v>15</v>
      </c>
    </row>
    <row r="118" spans="2:21" x14ac:dyDescent="0.3">
      <c r="B118" s="1">
        <f t="shared" ca="1" si="31"/>
        <v>1376</v>
      </c>
      <c r="C118" s="6">
        <f t="shared" ca="1" si="32"/>
        <v>1432</v>
      </c>
      <c r="D118" s="1">
        <f t="shared" ca="1" si="33"/>
        <v>7</v>
      </c>
      <c r="E118" s="6">
        <f t="shared" ca="1" si="34"/>
        <v>1439</v>
      </c>
      <c r="F118" s="6">
        <f t="shared" ca="1" si="35"/>
        <v>56</v>
      </c>
      <c r="G118" s="6">
        <f t="shared" ca="1" si="36"/>
        <v>0</v>
      </c>
      <c r="R118">
        <f t="shared" ca="1" si="23"/>
        <v>16</v>
      </c>
      <c r="U118">
        <f t="shared" ca="1" si="24"/>
        <v>7</v>
      </c>
    </row>
    <row r="119" spans="2:21" x14ac:dyDescent="0.3">
      <c r="B119" s="1">
        <f t="shared" ca="1" si="31"/>
        <v>1392</v>
      </c>
      <c r="C119" s="6">
        <f t="shared" ca="1" si="32"/>
        <v>1439</v>
      </c>
      <c r="D119" s="1">
        <f t="shared" ca="1" si="33"/>
        <v>11</v>
      </c>
      <c r="E119" s="6">
        <f t="shared" ca="1" si="34"/>
        <v>1450</v>
      </c>
      <c r="F119" s="6">
        <f t="shared" ca="1" si="35"/>
        <v>47</v>
      </c>
      <c r="G119" s="6">
        <f t="shared" ca="1" si="36"/>
        <v>0</v>
      </c>
      <c r="R119">
        <f t="shared" ca="1" si="23"/>
        <v>16</v>
      </c>
      <c r="U119">
        <f t="shared" ca="1" si="24"/>
        <v>11</v>
      </c>
    </row>
    <row r="120" spans="2:21" x14ac:dyDescent="0.3">
      <c r="B120" s="1">
        <f t="shared" ca="1" si="31"/>
        <v>1404</v>
      </c>
      <c r="C120" s="6">
        <f t="shared" ca="1" si="32"/>
        <v>1450</v>
      </c>
      <c r="D120" s="1">
        <f t="shared" ca="1" si="33"/>
        <v>7</v>
      </c>
      <c r="E120" s="6">
        <f t="shared" ca="1" si="34"/>
        <v>1457</v>
      </c>
      <c r="F120" s="6">
        <f t="shared" ca="1" si="35"/>
        <v>46</v>
      </c>
      <c r="G120" s="6">
        <f t="shared" ca="1" si="36"/>
        <v>0</v>
      </c>
      <c r="R120">
        <f t="shared" ca="1" si="23"/>
        <v>12</v>
      </c>
      <c r="U120">
        <f t="shared" ca="1" si="24"/>
        <v>7</v>
      </c>
    </row>
    <row r="121" spans="2:21" x14ac:dyDescent="0.3">
      <c r="B121" s="1">
        <f t="shared" ca="1" si="31"/>
        <v>1420</v>
      </c>
      <c r="C121" s="6">
        <f t="shared" ca="1" si="32"/>
        <v>1457</v>
      </c>
      <c r="D121" s="1">
        <f t="shared" ca="1" si="33"/>
        <v>24</v>
      </c>
      <c r="E121" s="6">
        <f t="shared" ca="1" si="34"/>
        <v>1481</v>
      </c>
      <c r="F121" s="6">
        <f t="shared" ca="1" si="35"/>
        <v>37</v>
      </c>
      <c r="G121" s="6">
        <f t="shared" ca="1" si="36"/>
        <v>0</v>
      </c>
      <c r="R121">
        <f t="shared" ca="1" si="23"/>
        <v>16</v>
      </c>
      <c r="U121">
        <f t="shared" ca="1" si="24"/>
        <v>24</v>
      </c>
    </row>
    <row r="122" spans="2:21" x14ac:dyDescent="0.3">
      <c r="B122" s="1">
        <f t="shared" ca="1" si="31"/>
        <v>1428</v>
      </c>
      <c r="C122" s="6">
        <f t="shared" ca="1" si="32"/>
        <v>1481</v>
      </c>
      <c r="D122" s="1">
        <f t="shared" ca="1" si="33"/>
        <v>20</v>
      </c>
      <c r="E122" s="6">
        <f t="shared" ca="1" si="34"/>
        <v>1501</v>
      </c>
      <c r="F122" s="6">
        <f t="shared" ca="1" si="35"/>
        <v>53</v>
      </c>
      <c r="G122" s="6">
        <f t="shared" ca="1" si="36"/>
        <v>0</v>
      </c>
      <c r="R122">
        <f t="shared" ca="1" si="23"/>
        <v>8</v>
      </c>
      <c r="U122">
        <f t="shared" ca="1" si="24"/>
        <v>20</v>
      </c>
    </row>
    <row r="123" spans="2:21" x14ac:dyDescent="0.3">
      <c r="B123" s="1">
        <f t="shared" ca="1" si="31"/>
        <v>1440</v>
      </c>
      <c r="C123" s="6">
        <f t="shared" ca="1" si="32"/>
        <v>1501</v>
      </c>
      <c r="D123" s="1">
        <f t="shared" ca="1" si="33"/>
        <v>18</v>
      </c>
      <c r="E123" s="6">
        <f t="shared" ca="1" si="34"/>
        <v>1519</v>
      </c>
      <c r="F123" s="6">
        <f t="shared" ca="1" si="35"/>
        <v>61</v>
      </c>
      <c r="G123" s="6">
        <f t="shared" ca="1" si="36"/>
        <v>0</v>
      </c>
      <c r="R123">
        <f t="shared" ca="1" si="23"/>
        <v>12</v>
      </c>
      <c r="U123">
        <f t="shared" ca="1" si="24"/>
        <v>18</v>
      </c>
    </row>
    <row r="124" spans="2:21" x14ac:dyDescent="0.3">
      <c r="B124" s="1">
        <f t="shared" ca="1" si="31"/>
        <v>1452</v>
      </c>
      <c r="C124" s="6">
        <f t="shared" ca="1" si="32"/>
        <v>1519</v>
      </c>
      <c r="D124" s="1">
        <f t="shared" ca="1" si="33"/>
        <v>18</v>
      </c>
      <c r="E124" s="6">
        <f t="shared" ca="1" si="34"/>
        <v>1537</v>
      </c>
      <c r="F124" s="6">
        <f t="shared" ca="1" si="35"/>
        <v>67</v>
      </c>
      <c r="G124" s="6">
        <f t="shared" ca="1" si="36"/>
        <v>0</v>
      </c>
      <c r="R124">
        <f t="shared" ca="1" si="23"/>
        <v>12</v>
      </c>
      <c r="U124">
        <f t="shared" ca="1" si="24"/>
        <v>18</v>
      </c>
    </row>
    <row r="125" spans="2:21" x14ac:dyDescent="0.3">
      <c r="B125" s="1">
        <f t="shared" ca="1" si="31"/>
        <v>1472</v>
      </c>
      <c r="C125" s="6">
        <f t="shared" ca="1" si="32"/>
        <v>1537</v>
      </c>
      <c r="D125" s="1">
        <f t="shared" ca="1" si="33"/>
        <v>20</v>
      </c>
      <c r="E125" s="6">
        <f t="shared" ca="1" si="34"/>
        <v>1557</v>
      </c>
      <c r="F125" s="6">
        <f t="shared" ca="1" si="35"/>
        <v>65</v>
      </c>
      <c r="G125" s="6">
        <f t="shared" ca="1" si="36"/>
        <v>0</v>
      </c>
      <c r="R125">
        <f t="shared" ca="1" si="23"/>
        <v>20</v>
      </c>
      <c r="U125">
        <f t="shared" ca="1" si="24"/>
        <v>20</v>
      </c>
    </row>
    <row r="126" spans="2:21" x14ac:dyDescent="0.3">
      <c r="B126" s="1">
        <f t="shared" ca="1" si="31"/>
        <v>1484</v>
      </c>
      <c r="C126" s="6">
        <f t="shared" ca="1" si="32"/>
        <v>1557</v>
      </c>
      <c r="D126" s="1">
        <f t="shared" ca="1" si="33"/>
        <v>7</v>
      </c>
      <c r="E126" s="6">
        <f t="shared" ca="1" si="34"/>
        <v>1564</v>
      </c>
      <c r="F126" s="6">
        <f t="shared" ca="1" si="35"/>
        <v>73</v>
      </c>
      <c r="G126" s="6">
        <f t="shared" ca="1" si="36"/>
        <v>0</v>
      </c>
      <c r="R126">
        <f t="shared" ca="1" si="23"/>
        <v>12</v>
      </c>
      <c r="U126">
        <f t="shared" ca="1" si="24"/>
        <v>7</v>
      </c>
    </row>
    <row r="127" spans="2:21" x14ac:dyDescent="0.3">
      <c r="B127" s="1">
        <f t="shared" ca="1" si="31"/>
        <v>1492</v>
      </c>
      <c r="C127" s="6">
        <f t="shared" ca="1" si="32"/>
        <v>1564</v>
      </c>
      <c r="D127" s="1">
        <f t="shared" ca="1" si="33"/>
        <v>7</v>
      </c>
      <c r="E127" s="6">
        <f t="shared" ca="1" si="34"/>
        <v>1571</v>
      </c>
      <c r="F127" s="6">
        <f t="shared" ca="1" si="35"/>
        <v>72</v>
      </c>
      <c r="G127" s="6">
        <f t="shared" ca="1" si="36"/>
        <v>0</v>
      </c>
      <c r="R127">
        <f t="shared" ca="1" si="23"/>
        <v>8</v>
      </c>
      <c r="U127">
        <f t="shared" ca="1" si="24"/>
        <v>7</v>
      </c>
    </row>
    <row r="128" spans="2:21" x14ac:dyDescent="0.3">
      <c r="B128" s="1">
        <f t="shared" ca="1" si="31"/>
        <v>1504</v>
      </c>
      <c r="C128" s="6">
        <f t="shared" ca="1" si="32"/>
        <v>1571</v>
      </c>
      <c r="D128" s="1">
        <f t="shared" ca="1" si="33"/>
        <v>20</v>
      </c>
      <c r="E128" s="6">
        <f t="shared" ca="1" si="34"/>
        <v>1591</v>
      </c>
      <c r="F128" s="6">
        <f t="shared" ca="1" si="35"/>
        <v>67</v>
      </c>
      <c r="G128" s="6">
        <f t="shared" ca="1" si="36"/>
        <v>0</v>
      </c>
      <c r="R128">
        <f t="shared" ca="1" si="23"/>
        <v>12</v>
      </c>
      <c r="U128">
        <f t="shared" ca="1" si="24"/>
        <v>20</v>
      </c>
    </row>
    <row r="129" spans="2:21" x14ac:dyDescent="0.3">
      <c r="B129" s="1">
        <f t="shared" ca="1" si="31"/>
        <v>1524</v>
      </c>
      <c r="C129" s="6">
        <f t="shared" ca="1" si="32"/>
        <v>1591</v>
      </c>
      <c r="D129" s="1">
        <f t="shared" ca="1" si="33"/>
        <v>11</v>
      </c>
      <c r="E129" s="6">
        <f t="shared" ca="1" si="34"/>
        <v>1602</v>
      </c>
      <c r="F129" s="6">
        <f t="shared" ca="1" si="35"/>
        <v>67</v>
      </c>
      <c r="G129" s="6">
        <f t="shared" ca="1" si="36"/>
        <v>0</v>
      </c>
      <c r="R129">
        <f t="shared" ca="1" si="23"/>
        <v>20</v>
      </c>
      <c r="U129">
        <f t="shared" ca="1" si="24"/>
        <v>11</v>
      </c>
    </row>
    <row r="130" spans="2:21" x14ac:dyDescent="0.3">
      <c r="B130" s="1">
        <f t="shared" ca="1" si="31"/>
        <v>1536</v>
      </c>
      <c r="C130" s="6">
        <f t="shared" ca="1" si="32"/>
        <v>1602</v>
      </c>
      <c r="D130" s="1">
        <f t="shared" ca="1" si="33"/>
        <v>20</v>
      </c>
      <c r="E130" s="6">
        <f t="shared" ca="1" si="34"/>
        <v>1622</v>
      </c>
      <c r="F130" s="6">
        <f t="shared" ca="1" si="35"/>
        <v>66</v>
      </c>
      <c r="G130" s="6">
        <f t="shared" ca="1" si="36"/>
        <v>0</v>
      </c>
      <c r="R130">
        <f t="shared" ca="1" si="23"/>
        <v>12</v>
      </c>
      <c r="U130">
        <f t="shared" ca="1" si="24"/>
        <v>20</v>
      </c>
    </row>
    <row r="131" spans="2:21" x14ac:dyDescent="0.3">
      <c r="B131" s="1">
        <f t="shared" ca="1" si="31"/>
        <v>1548</v>
      </c>
      <c r="C131" s="6">
        <f t="shared" ca="1" si="32"/>
        <v>1622</v>
      </c>
      <c r="D131" s="1">
        <f t="shared" ca="1" si="33"/>
        <v>20</v>
      </c>
      <c r="E131" s="6">
        <f t="shared" ca="1" si="34"/>
        <v>1642</v>
      </c>
      <c r="F131" s="6">
        <f t="shared" ca="1" si="35"/>
        <v>74</v>
      </c>
      <c r="G131" s="6">
        <f t="shared" ca="1" si="36"/>
        <v>0</v>
      </c>
      <c r="R131">
        <f t="shared" ca="1" si="23"/>
        <v>12</v>
      </c>
      <c r="U131">
        <f t="shared" ca="1" si="24"/>
        <v>20</v>
      </c>
    </row>
    <row r="132" spans="2:21" x14ac:dyDescent="0.3">
      <c r="B132" s="1">
        <f t="shared" ca="1" si="31"/>
        <v>1560</v>
      </c>
      <c r="C132" s="6">
        <f t="shared" ca="1" si="32"/>
        <v>1642</v>
      </c>
      <c r="D132" s="1">
        <f t="shared" ca="1" si="33"/>
        <v>7</v>
      </c>
      <c r="E132" s="6">
        <f t="shared" ca="1" si="34"/>
        <v>1649</v>
      </c>
      <c r="F132" s="6">
        <f t="shared" ca="1" si="35"/>
        <v>82</v>
      </c>
      <c r="G132" s="6">
        <f t="shared" ca="1" si="36"/>
        <v>0</v>
      </c>
      <c r="R132">
        <f t="shared" ca="1" si="23"/>
        <v>12</v>
      </c>
      <c r="U132">
        <f t="shared" ca="1" si="24"/>
        <v>7</v>
      </c>
    </row>
    <row r="133" spans="2:21" x14ac:dyDescent="0.3">
      <c r="B133" s="1">
        <f t="shared" ca="1" si="31"/>
        <v>1580</v>
      </c>
      <c r="C133" s="6">
        <f t="shared" ca="1" si="32"/>
        <v>1649</v>
      </c>
      <c r="D133" s="1">
        <f t="shared" ca="1" si="33"/>
        <v>7</v>
      </c>
      <c r="E133" s="6">
        <f t="shared" ca="1" si="34"/>
        <v>1656</v>
      </c>
      <c r="F133" s="6">
        <f t="shared" ca="1" si="35"/>
        <v>69</v>
      </c>
      <c r="G133" s="6">
        <f t="shared" ca="1" si="36"/>
        <v>0</v>
      </c>
      <c r="R133">
        <f t="shared" ca="1" si="23"/>
        <v>20</v>
      </c>
      <c r="U133">
        <f t="shared" ca="1" si="24"/>
        <v>7</v>
      </c>
    </row>
    <row r="134" spans="2:21" x14ac:dyDescent="0.3">
      <c r="B134" s="1">
        <f t="shared" ca="1" si="31"/>
        <v>1600</v>
      </c>
      <c r="C134" s="6">
        <f t="shared" ca="1" si="32"/>
        <v>1656</v>
      </c>
      <c r="D134" s="1">
        <f t="shared" ca="1" si="33"/>
        <v>24</v>
      </c>
      <c r="E134" s="6">
        <f t="shared" ca="1" si="34"/>
        <v>1680</v>
      </c>
      <c r="F134" s="6">
        <f t="shared" ca="1" si="35"/>
        <v>56</v>
      </c>
      <c r="G134" s="6">
        <f t="shared" ca="1" si="36"/>
        <v>0</v>
      </c>
      <c r="R134">
        <f t="shared" ca="1" si="23"/>
        <v>20</v>
      </c>
      <c r="U134">
        <f t="shared" ca="1" si="24"/>
        <v>24</v>
      </c>
    </row>
    <row r="135" spans="2:21" x14ac:dyDescent="0.3">
      <c r="B135" s="1">
        <f t="shared" ca="1" si="31"/>
        <v>1612</v>
      </c>
      <c r="C135" s="6">
        <f t="shared" ca="1" si="32"/>
        <v>1680</v>
      </c>
      <c r="D135" s="1">
        <f t="shared" ca="1" si="33"/>
        <v>7</v>
      </c>
      <c r="E135" s="6">
        <f t="shared" ca="1" si="34"/>
        <v>1687</v>
      </c>
      <c r="F135" s="6">
        <f t="shared" ca="1" si="35"/>
        <v>68</v>
      </c>
      <c r="G135" s="6">
        <f t="shared" ca="1" si="36"/>
        <v>0</v>
      </c>
      <c r="R135">
        <f t="shared" ca="1" si="23"/>
        <v>12</v>
      </c>
      <c r="U135">
        <f t="shared" ca="1" si="24"/>
        <v>7</v>
      </c>
    </row>
    <row r="136" spans="2:21" x14ac:dyDescent="0.3">
      <c r="B136" s="1">
        <f t="shared" ca="1" si="31"/>
        <v>1620</v>
      </c>
      <c r="C136" s="6">
        <f t="shared" ca="1" si="32"/>
        <v>1687</v>
      </c>
      <c r="D136" s="1">
        <f t="shared" ca="1" si="33"/>
        <v>11</v>
      </c>
      <c r="E136" s="6">
        <f t="shared" ca="1" si="34"/>
        <v>1698</v>
      </c>
      <c r="F136" s="6">
        <f t="shared" ca="1" si="35"/>
        <v>67</v>
      </c>
      <c r="G136" s="6">
        <f t="shared" ca="1" si="36"/>
        <v>0</v>
      </c>
      <c r="R136">
        <f t="shared" ca="1" si="23"/>
        <v>8</v>
      </c>
      <c r="U136">
        <f t="shared" ca="1" si="24"/>
        <v>11</v>
      </c>
    </row>
    <row r="137" spans="2:21" x14ac:dyDescent="0.3">
      <c r="B137" s="1">
        <f t="shared" ca="1" si="31"/>
        <v>1640</v>
      </c>
      <c r="C137" s="6">
        <f t="shared" ca="1" si="32"/>
        <v>1698</v>
      </c>
      <c r="D137" s="1">
        <f t="shared" ca="1" si="33"/>
        <v>20</v>
      </c>
      <c r="E137" s="6">
        <f t="shared" ca="1" si="34"/>
        <v>1718</v>
      </c>
      <c r="F137" s="6">
        <f t="shared" ca="1" si="35"/>
        <v>58</v>
      </c>
      <c r="G137" s="6">
        <f t="shared" ca="1" si="36"/>
        <v>0</v>
      </c>
      <c r="R137">
        <f t="shared" ca="1" si="23"/>
        <v>20</v>
      </c>
      <c r="U137">
        <f t="shared" ca="1" si="24"/>
        <v>20</v>
      </c>
    </row>
    <row r="138" spans="2:21" x14ac:dyDescent="0.3">
      <c r="B138" s="1">
        <f t="shared" ca="1" si="31"/>
        <v>1652</v>
      </c>
      <c r="C138" s="6">
        <f t="shared" ca="1" si="32"/>
        <v>1718</v>
      </c>
      <c r="D138" s="1">
        <f t="shared" ca="1" si="33"/>
        <v>11</v>
      </c>
      <c r="E138" s="6">
        <f t="shared" ca="1" si="34"/>
        <v>1729</v>
      </c>
      <c r="F138" s="6">
        <f t="shared" ca="1" si="35"/>
        <v>66</v>
      </c>
      <c r="G138" s="6">
        <f t="shared" ca="1" si="36"/>
        <v>0</v>
      </c>
      <c r="R138">
        <f t="shared" ca="1" si="23"/>
        <v>12</v>
      </c>
      <c r="U138">
        <f t="shared" ca="1" si="24"/>
        <v>11</v>
      </c>
    </row>
    <row r="139" spans="2:21" x14ac:dyDescent="0.3">
      <c r="B139" s="1">
        <f t="shared" ca="1" si="31"/>
        <v>1672</v>
      </c>
      <c r="C139" s="6">
        <f t="shared" ca="1" si="32"/>
        <v>1729</v>
      </c>
      <c r="D139" s="1">
        <f t="shared" ca="1" si="33"/>
        <v>20</v>
      </c>
      <c r="E139" s="6">
        <f t="shared" ca="1" si="34"/>
        <v>1749</v>
      </c>
      <c r="F139" s="6">
        <f t="shared" ca="1" si="35"/>
        <v>57</v>
      </c>
      <c r="G139" s="6">
        <f t="shared" ca="1" si="36"/>
        <v>0</v>
      </c>
      <c r="R139">
        <f t="shared" ca="1" si="23"/>
        <v>20</v>
      </c>
      <c r="U139">
        <f t="shared" ca="1" si="24"/>
        <v>20</v>
      </c>
    </row>
    <row r="140" spans="2:21" x14ac:dyDescent="0.3">
      <c r="B140" s="1">
        <f t="shared" ca="1" si="31"/>
        <v>1684</v>
      </c>
      <c r="C140" s="6">
        <f t="shared" ca="1" si="32"/>
        <v>1749</v>
      </c>
      <c r="D140" s="1">
        <f t="shared" ca="1" si="33"/>
        <v>15</v>
      </c>
      <c r="E140" s="6">
        <f t="shared" ca="1" si="34"/>
        <v>1764</v>
      </c>
      <c r="F140" s="6">
        <f t="shared" ca="1" si="35"/>
        <v>65</v>
      </c>
      <c r="G140" s="6">
        <f t="shared" ca="1" si="36"/>
        <v>0</v>
      </c>
      <c r="R140">
        <f t="shared" ca="1" si="23"/>
        <v>12</v>
      </c>
      <c r="U140">
        <f t="shared" ca="1" si="24"/>
        <v>15</v>
      </c>
    </row>
    <row r="141" spans="2:21" x14ac:dyDescent="0.3">
      <c r="B141" s="1">
        <f t="shared" ca="1" si="31"/>
        <v>1692</v>
      </c>
      <c r="C141" s="6">
        <f t="shared" ca="1" si="32"/>
        <v>1764</v>
      </c>
      <c r="D141" s="1">
        <f t="shared" ca="1" si="33"/>
        <v>7</v>
      </c>
      <c r="E141" s="6">
        <f t="shared" ca="1" si="34"/>
        <v>1771</v>
      </c>
      <c r="F141" s="6">
        <f t="shared" ca="1" si="35"/>
        <v>72</v>
      </c>
      <c r="G141" s="6">
        <f t="shared" ca="1" si="36"/>
        <v>0</v>
      </c>
      <c r="R141">
        <f t="shared" ca="1" si="23"/>
        <v>8</v>
      </c>
      <c r="U141">
        <f t="shared" ca="1" si="24"/>
        <v>7</v>
      </c>
    </row>
    <row r="142" spans="2:21" x14ac:dyDescent="0.3">
      <c r="B142" s="1">
        <f t="shared" ca="1" si="31"/>
        <v>1708</v>
      </c>
      <c r="C142" s="6">
        <f t="shared" ca="1" si="32"/>
        <v>1771</v>
      </c>
      <c r="D142" s="1">
        <f t="shared" ca="1" si="33"/>
        <v>20</v>
      </c>
      <c r="E142" s="6">
        <f t="shared" ca="1" si="34"/>
        <v>1791</v>
      </c>
      <c r="F142" s="6">
        <f t="shared" ca="1" si="35"/>
        <v>63</v>
      </c>
      <c r="G142" s="6">
        <f t="shared" ca="1" si="36"/>
        <v>0</v>
      </c>
      <c r="R142">
        <f t="shared" ca="1" si="23"/>
        <v>16</v>
      </c>
      <c r="U142">
        <f t="shared" ca="1" si="24"/>
        <v>20</v>
      </c>
    </row>
    <row r="143" spans="2:21" x14ac:dyDescent="0.3">
      <c r="B143" s="1">
        <f t="shared" ca="1" si="31"/>
        <v>1716</v>
      </c>
      <c r="C143" s="6">
        <f t="shared" ca="1" si="32"/>
        <v>1791</v>
      </c>
      <c r="D143" s="1">
        <f t="shared" ca="1" si="33"/>
        <v>7</v>
      </c>
      <c r="E143" s="6">
        <f t="shared" ca="1" si="34"/>
        <v>1798</v>
      </c>
      <c r="F143" s="6">
        <f t="shared" ca="1" si="35"/>
        <v>75</v>
      </c>
      <c r="G143" s="6">
        <f t="shared" ca="1" si="36"/>
        <v>0</v>
      </c>
      <c r="R143">
        <f t="shared" ca="1" si="23"/>
        <v>8</v>
      </c>
      <c r="U143">
        <f t="shared" ca="1" si="24"/>
        <v>7</v>
      </c>
    </row>
    <row r="144" spans="2:21" x14ac:dyDescent="0.3">
      <c r="B144" s="1">
        <f t="shared" ca="1" si="31"/>
        <v>1736</v>
      </c>
      <c r="C144" s="6">
        <f t="shared" ca="1" si="32"/>
        <v>1798</v>
      </c>
      <c r="D144" s="1">
        <f t="shared" ca="1" si="33"/>
        <v>15</v>
      </c>
      <c r="E144" s="6">
        <f t="shared" ca="1" si="34"/>
        <v>1813</v>
      </c>
      <c r="F144" s="6">
        <f t="shared" ca="1" si="35"/>
        <v>62</v>
      </c>
      <c r="G144" s="6">
        <f t="shared" ca="1" si="36"/>
        <v>0</v>
      </c>
      <c r="R144">
        <f t="shared" ca="1" si="23"/>
        <v>20</v>
      </c>
      <c r="U144">
        <f t="shared" ca="1" si="24"/>
        <v>15</v>
      </c>
    </row>
    <row r="145" spans="2:21" x14ac:dyDescent="0.3">
      <c r="B145" s="1">
        <f t="shared" ca="1" si="31"/>
        <v>1748</v>
      </c>
      <c r="C145" s="6">
        <f t="shared" ca="1" si="32"/>
        <v>1813</v>
      </c>
      <c r="D145" s="1">
        <f t="shared" ca="1" si="33"/>
        <v>7</v>
      </c>
      <c r="E145" s="6">
        <f t="shared" ca="1" si="34"/>
        <v>1820</v>
      </c>
      <c r="F145" s="6">
        <f t="shared" ca="1" si="35"/>
        <v>65</v>
      </c>
      <c r="G145" s="6">
        <f t="shared" ca="1" si="36"/>
        <v>0</v>
      </c>
      <c r="R145">
        <f t="shared" ca="1" si="23"/>
        <v>12</v>
      </c>
      <c r="U145">
        <f t="shared" ca="1" si="24"/>
        <v>7</v>
      </c>
    </row>
    <row r="146" spans="2:21" x14ac:dyDescent="0.3">
      <c r="B146" s="1">
        <f t="shared" ca="1" si="31"/>
        <v>1764</v>
      </c>
      <c r="C146" s="6">
        <f t="shared" ca="1" si="32"/>
        <v>1820</v>
      </c>
      <c r="D146" s="1">
        <f t="shared" ca="1" si="33"/>
        <v>7</v>
      </c>
      <c r="E146" s="6">
        <f t="shared" ca="1" si="34"/>
        <v>1827</v>
      </c>
      <c r="F146" s="6">
        <f t="shared" ca="1" si="35"/>
        <v>56</v>
      </c>
      <c r="G146" s="6">
        <f t="shared" ca="1" si="36"/>
        <v>0</v>
      </c>
      <c r="R146">
        <f t="shared" ref="R146:R162" ca="1" si="37">VLOOKUP(RAND(),$Q$3:$R$6,2,TRUE)</f>
        <v>16</v>
      </c>
      <c r="U146">
        <f t="shared" ref="U146:U162" ca="1" si="38">VLOOKUP(RAND(),$T$3:$U$9,2,TRUE)</f>
        <v>7</v>
      </c>
    </row>
    <row r="147" spans="2:21" x14ac:dyDescent="0.3">
      <c r="B147" s="1">
        <f t="shared" ca="1" si="31"/>
        <v>1776</v>
      </c>
      <c r="C147" s="6">
        <f t="shared" ca="1" si="32"/>
        <v>1827</v>
      </c>
      <c r="D147" s="1">
        <f t="shared" ca="1" si="33"/>
        <v>7</v>
      </c>
      <c r="E147" s="6">
        <f t="shared" ca="1" si="34"/>
        <v>1834</v>
      </c>
      <c r="F147" s="6">
        <f t="shared" ca="1" si="35"/>
        <v>51</v>
      </c>
      <c r="G147" s="6">
        <f t="shared" ca="1" si="36"/>
        <v>0</v>
      </c>
      <c r="R147">
        <f t="shared" ca="1" si="37"/>
        <v>12</v>
      </c>
      <c r="U147">
        <f t="shared" ca="1" si="38"/>
        <v>7</v>
      </c>
    </row>
    <row r="148" spans="2:21" x14ac:dyDescent="0.3">
      <c r="B148" s="1">
        <f t="shared" ca="1" si="31"/>
        <v>1788</v>
      </c>
      <c r="C148" s="6">
        <f t="shared" ca="1" si="32"/>
        <v>1834</v>
      </c>
      <c r="D148" s="1">
        <f t="shared" ca="1" si="33"/>
        <v>20</v>
      </c>
      <c r="E148" s="6">
        <f t="shared" ca="1" si="34"/>
        <v>1854</v>
      </c>
      <c r="F148" s="6">
        <f t="shared" ca="1" si="35"/>
        <v>46</v>
      </c>
      <c r="G148" s="6">
        <f t="shared" ca="1" si="36"/>
        <v>0</v>
      </c>
      <c r="R148">
        <f t="shared" ca="1" si="37"/>
        <v>12</v>
      </c>
      <c r="U148">
        <f t="shared" ca="1" si="38"/>
        <v>20</v>
      </c>
    </row>
    <row r="149" spans="2:21" x14ac:dyDescent="0.3">
      <c r="B149" s="1">
        <f t="shared" ca="1" si="31"/>
        <v>1800</v>
      </c>
      <c r="C149" s="6">
        <f t="shared" ca="1" si="32"/>
        <v>1854</v>
      </c>
      <c r="D149" s="1">
        <f t="shared" ca="1" si="33"/>
        <v>11</v>
      </c>
      <c r="E149" s="6">
        <f t="shared" ca="1" si="34"/>
        <v>1865</v>
      </c>
      <c r="F149" s="6">
        <f t="shared" ca="1" si="35"/>
        <v>54</v>
      </c>
      <c r="G149" s="6">
        <f t="shared" ca="1" si="36"/>
        <v>0</v>
      </c>
      <c r="R149">
        <f t="shared" ca="1" si="37"/>
        <v>12</v>
      </c>
      <c r="U149">
        <f t="shared" ca="1" si="38"/>
        <v>11</v>
      </c>
    </row>
    <row r="150" spans="2:21" x14ac:dyDescent="0.3">
      <c r="B150" s="1">
        <f t="shared" ca="1" si="31"/>
        <v>1812</v>
      </c>
      <c r="C150" s="6">
        <f t="shared" ca="1" si="32"/>
        <v>1865</v>
      </c>
      <c r="D150" s="1">
        <f t="shared" ca="1" si="33"/>
        <v>20</v>
      </c>
      <c r="E150" s="6">
        <f t="shared" ca="1" si="34"/>
        <v>1885</v>
      </c>
      <c r="F150" s="6">
        <f t="shared" ca="1" si="35"/>
        <v>53</v>
      </c>
      <c r="G150" s="6">
        <f t="shared" ca="1" si="36"/>
        <v>0</v>
      </c>
      <c r="R150">
        <f t="shared" ca="1" si="37"/>
        <v>12</v>
      </c>
      <c r="U150">
        <f t="shared" ca="1" si="38"/>
        <v>20</v>
      </c>
    </row>
    <row r="151" spans="2:21" x14ac:dyDescent="0.3">
      <c r="B151" s="1">
        <f t="shared" ca="1" si="31"/>
        <v>1824</v>
      </c>
      <c r="C151" s="6">
        <f t="shared" ca="1" si="32"/>
        <v>1885</v>
      </c>
      <c r="D151" s="1">
        <f t="shared" ca="1" si="33"/>
        <v>7</v>
      </c>
      <c r="E151" s="6">
        <f t="shared" ca="1" si="34"/>
        <v>1892</v>
      </c>
      <c r="F151" s="6">
        <f t="shared" ca="1" si="35"/>
        <v>61</v>
      </c>
      <c r="G151" s="6">
        <f t="shared" ca="1" si="36"/>
        <v>0</v>
      </c>
      <c r="R151">
        <f t="shared" ca="1" si="37"/>
        <v>12</v>
      </c>
      <c r="U151">
        <f t="shared" ca="1" si="38"/>
        <v>7</v>
      </c>
    </row>
    <row r="152" spans="2:21" x14ac:dyDescent="0.3">
      <c r="B152" s="1">
        <f t="shared" ca="1" si="31"/>
        <v>1836</v>
      </c>
      <c r="C152" s="6">
        <f t="shared" ca="1" si="32"/>
        <v>1892</v>
      </c>
      <c r="D152" s="1">
        <f t="shared" ca="1" si="33"/>
        <v>15</v>
      </c>
      <c r="E152" s="6">
        <f t="shared" ca="1" si="34"/>
        <v>1907</v>
      </c>
      <c r="F152" s="6">
        <f t="shared" ca="1" si="35"/>
        <v>56</v>
      </c>
      <c r="G152" s="6">
        <f t="shared" ca="1" si="36"/>
        <v>0</v>
      </c>
      <c r="R152">
        <f t="shared" ca="1" si="37"/>
        <v>12</v>
      </c>
      <c r="U152">
        <f t="shared" ca="1" si="38"/>
        <v>15</v>
      </c>
    </row>
    <row r="153" spans="2:21" x14ac:dyDescent="0.3">
      <c r="B153" s="1">
        <f t="shared" ca="1" si="31"/>
        <v>1844</v>
      </c>
      <c r="C153" s="6">
        <f t="shared" ca="1" si="32"/>
        <v>1907</v>
      </c>
      <c r="D153" s="1">
        <f t="shared" ca="1" si="33"/>
        <v>11</v>
      </c>
      <c r="E153" s="6">
        <f t="shared" ca="1" si="34"/>
        <v>1918</v>
      </c>
      <c r="F153" s="6">
        <f t="shared" ca="1" si="35"/>
        <v>63</v>
      </c>
      <c r="G153" s="6">
        <f t="shared" ca="1" si="36"/>
        <v>0</v>
      </c>
      <c r="R153">
        <f t="shared" ca="1" si="37"/>
        <v>8</v>
      </c>
      <c r="U153">
        <f t="shared" ca="1" si="38"/>
        <v>11</v>
      </c>
    </row>
    <row r="154" spans="2:21" x14ac:dyDescent="0.3">
      <c r="B154" s="1">
        <f t="shared" ca="1" si="31"/>
        <v>1864</v>
      </c>
      <c r="C154" s="6">
        <f t="shared" ca="1" si="32"/>
        <v>1918</v>
      </c>
      <c r="D154" s="1">
        <f t="shared" ca="1" si="33"/>
        <v>11</v>
      </c>
      <c r="E154" s="6">
        <f t="shared" ca="1" si="34"/>
        <v>1929</v>
      </c>
      <c r="F154" s="6">
        <f t="shared" ca="1" si="35"/>
        <v>54</v>
      </c>
      <c r="G154" s="6">
        <f t="shared" ca="1" si="36"/>
        <v>0</v>
      </c>
      <c r="R154">
        <f t="shared" ca="1" si="37"/>
        <v>20</v>
      </c>
      <c r="U154">
        <f t="shared" ca="1" si="38"/>
        <v>11</v>
      </c>
    </row>
    <row r="155" spans="2:21" x14ac:dyDescent="0.3">
      <c r="B155" s="1">
        <f t="shared" ca="1" si="31"/>
        <v>1876</v>
      </c>
      <c r="C155" s="6">
        <f t="shared" ca="1" si="32"/>
        <v>1929</v>
      </c>
      <c r="D155" s="1">
        <f t="shared" ca="1" si="33"/>
        <v>18</v>
      </c>
      <c r="E155" s="6">
        <f t="shared" ca="1" si="34"/>
        <v>1947</v>
      </c>
      <c r="F155" s="6">
        <f t="shared" ca="1" si="35"/>
        <v>53</v>
      </c>
      <c r="G155" s="6">
        <f t="shared" ca="1" si="36"/>
        <v>0</v>
      </c>
      <c r="R155">
        <f t="shared" ca="1" si="37"/>
        <v>12</v>
      </c>
      <c r="U155">
        <f t="shared" ca="1" si="38"/>
        <v>18</v>
      </c>
    </row>
    <row r="156" spans="2:21" x14ac:dyDescent="0.3">
      <c r="B156" s="1">
        <f t="shared" ca="1" si="31"/>
        <v>1888</v>
      </c>
      <c r="C156" s="6">
        <f t="shared" ca="1" si="32"/>
        <v>1947</v>
      </c>
      <c r="D156" s="1">
        <f t="shared" ca="1" si="33"/>
        <v>11</v>
      </c>
      <c r="E156" s="6">
        <f t="shared" ca="1" si="34"/>
        <v>1958</v>
      </c>
      <c r="F156" s="6">
        <f t="shared" ca="1" si="35"/>
        <v>59</v>
      </c>
      <c r="G156" s="6">
        <f t="shared" ca="1" si="36"/>
        <v>0</v>
      </c>
      <c r="R156">
        <f t="shared" ca="1" si="37"/>
        <v>12</v>
      </c>
      <c r="U156">
        <f t="shared" ca="1" si="38"/>
        <v>11</v>
      </c>
    </row>
    <row r="157" spans="2:21" x14ac:dyDescent="0.3">
      <c r="B157" s="1">
        <f t="shared" ca="1" si="31"/>
        <v>1900</v>
      </c>
      <c r="C157" s="6">
        <f t="shared" ca="1" si="32"/>
        <v>1958</v>
      </c>
      <c r="D157" s="1">
        <f t="shared" ca="1" si="33"/>
        <v>11</v>
      </c>
      <c r="E157" s="6">
        <f t="shared" ca="1" si="34"/>
        <v>1969</v>
      </c>
      <c r="F157" s="6">
        <f t="shared" ca="1" si="35"/>
        <v>58</v>
      </c>
      <c r="G157" s="6">
        <f t="shared" ca="1" si="36"/>
        <v>0</v>
      </c>
      <c r="R157">
        <f t="shared" ca="1" si="37"/>
        <v>12</v>
      </c>
      <c r="U157">
        <f t="shared" ca="1" si="38"/>
        <v>11</v>
      </c>
    </row>
    <row r="158" spans="2:21" x14ac:dyDescent="0.3">
      <c r="B158" s="1">
        <f t="shared" ca="1" si="31"/>
        <v>1912</v>
      </c>
      <c r="C158" s="6">
        <f t="shared" ca="1" si="32"/>
        <v>1969</v>
      </c>
      <c r="D158" s="1">
        <f t="shared" ca="1" si="33"/>
        <v>11</v>
      </c>
      <c r="E158" s="6">
        <f t="shared" ca="1" si="34"/>
        <v>1980</v>
      </c>
      <c r="F158" s="6">
        <f t="shared" ca="1" si="35"/>
        <v>57</v>
      </c>
      <c r="G158" s="6">
        <f t="shared" ca="1" si="36"/>
        <v>0</v>
      </c>
      <c r="R158">
        <f t="shared" ca="1" si="37"/>
        <v>12</v>
      </c>
      <c r="U158">
        <f t="shared" ca="1" si="38"/>
        <v>11</v>
      </c>
    </row>
    <row r="159" spans="2:21" x14ac:dyDescent="0.3">
      <c r="B159" s="1">
        <f t="shared" ca="1" si="31"/>
        <v>1928</v>
      </c>
      <c r="C159" s="6">
        <f t="shared" ca="1" si="32"/>
        <v>1980</v>
      </c>
      <c r="D159" s="1">
        <f t="shared" ca="1" si="33"/>
        <v>20</v>
      </c>
      <c r="E159" s="6">
        <f t="shared" ca="1" si="34"/>
        <v>2000</v>
      </c>
      <c r="F159" s="6">
        <f t="shared" ca="1" si="35"/>
        <v>52</v>
      </c>
      <c r="G159" s="6">
        <f t="shared" ca="1" si="36"/>
        <v>0</v>
      </c>
      <c r="R159">
        <f t="shared" ca="1" si="37"/>
        <v>16</v>
      </c>
      <c r="U159">
        <f t="shared" ca="1" si="38"/>
        <v>20</v>
      </c>
    </row>
    <row r="160" spans="2:21" x14ac:dyDescent="0.3">
      <c r="B160" s="1">
        <f t="shared" ca="1" si="31"/>
        <v>1936</v>
      </c>
      <c r="C160" s="6">
        <f t="shared" ca="1" si="32"/>
        <v>2000</v>
      </c>
      <c r="D160" s="1">
        <f t="shared" ca="1" si="33"/>
        <v>24</v>
      </c>
      <c r="E160" s="6">
        <f t="shared" ca="1" si="34"/>
        <v>2024</v>
      </c>
      <c r="F160" s="6">
        <f t="shared" ca="1" si="35"/>
        <v>64</v>
      </c>
      <c r="G160" s="6">
        <f t="shared" ca="1" si="36"/>
        <v>0</v>
      </c>
      <c r="R160">
        <f t="shared" ca="1" si="37"/>
        <v>8</v>
      </c>
      <c r="U160">
        <f t="shared" ca="1" si="38"/>
        <v>24</v>
      </c>
    </row>
    <row r="161" spans="2:21" x14ac:dyDescent="0.3">
      <c r="B161" s="1">
        <f t="shared" ca="1" si="31"/>
        <v>1952</v>
      </c>
      <c r="C161" s="6">
        <f t="shared" ca="1" si="32"/>
        <v>2024</v>
      </c>
      <c r="D161" s="1">
        <f t="shared" ca="1" si="33"/>
        <v>18</v>
      </c>
      <c r="E161" s="6">
        <f t="shared" ca="1" si="34"/>
        <v>2042</v>
      </c>
      <c r="F161" s="6">
        <f t="shared" ca="1" si="35"/>
        <v>72</v>
      </c>
      <c r="G161" s="6">
        <f t="shared" ca="1" si="36"/>
        <v>0</v>
      </c>
      <c r="R161">
        <f t="shared" ca="1" si="37"/>
        <v>16</v>
      </c>
      <c r="U161">
        <f t="shared" ca="1" si="38"/>
        <v>18</v>
      </c>
    </row>
    <row r="162" spans="2:21" x14ac:dyDescent="0.3">
      <c r="B162" s="1">
        <f t="shared" ca="1" si="31"/>
        <v>1964</v>
      </c>
      <c r="C162" s="6">
        <f t="shared" ca="1" si="32"/>
        <v>2042</v>
      </c>
      <c r="D162" s="1">
        <f t="shared" ca="1" si="33"/>
        <v>7</v>
      </c>
      <c r="E162" s="6">
        <f t="shared" ca="1" si="34"/>
        <v>2049</v>
      </c>
      <c r="F162" s="6">
        <f t="shared" ca="1" si="35"/>
        <v>78</v>
      </c>
      <c r="G162" s="6">
        <f t="shared" ca="1" si="36"/>
        <v>0</v>
      </c>
      <c r="R162">
        <f t="shared" ca="1" si="37"/>
        <v>12</v>
      </c>
      <c r="U162">
        <f t="shared" ca="1" si="38"/>
        <v>7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BC93-EBE2-4E28-8434-1F7372C418AD}">
  <dimension ref="A2:U162"/>
  <sheetViews>
    <sheetView topLeftCell="K10" zoomScaleNormal="100" workbookViewId="0">
      <selection activeCell="M13" sqref="M13"/>
    </sheetView>
  </sheetViews>
  <sheetFormatPr defaultRowHeight="14.4" x14ac:dyDescent="0.3"/>
  <cols>
    <col min="1" max="1" width="16.33203125" customWidth="1"/>
    <col min="10" max="10" width="19.109375" customWidth="1"/>
  </cols>
  <sheetData>
    <row r="2" spans="1:21" ht="29.4" thickBot="1" x14ac:dyDescent="0.35">
      <c r="J2" t="s">
        <v>8</v>
      </c>
      <c r="K2" t="s">
        <v>7</v>
      </c>
      <c r="M2" s="3" t="s">
        <v>26</v>
      </c>
      <c r="N2" t="s">
        <v>7</v>
      </c>
    </row>
    <row r="3" spans="1:21" ht="15" thickBot="1" x14ac:dyDescent="0.35">
      <c r="J3">
        <v>5</v>
      </c>
      <c r="K3">
        <v>0.1</v>
      </c>
      <c r="M3" s="7">
        <v>6</v>
      </c>
      <c r="N3">
        <v>0.15</v>
      </c>
      <c r="Q3">
        <v>0</v>
      </c>
      <c r="R3">
        <f>J3</f>
        <v>5</v>
      </c>
      <c r="T3">
        <v>0</v>
      </c>
      <c r="U3" s="7">
        <f>M3</f>
        <v>6</v>
      </c>
    </row>
    <row r="4" spans="1:21" ht="15" thickBot="1" x14ac:dyDescent="0.35">
      <c r="B4" s="7"/>
      <c r="C4" s="8"/>
      <c r="D4" s="8"/>
      <c r="E4" s="8"/>
      <c r="F4" s="8"/>
      <c r="G4" s="8"/>
      <c r="H4" s="9"/>
      <c r="J4">
        <v>7</v>
      </c>
      <c r="K4">
        <v>0.2</v>
      </c>
      <c r="M4" s="8">
        <v>8</v>
      </c>
      <c r="N4">
        <v>0.4</v>
      </c>
      <c r="Q4">
        <f>SUM(K$3:$K3)</f>
        <v>0.1</v>
      </c>
      <c r="R4">
        <f t="shared" ref="R4:R6" si="0">J4</f>
        <v>7</v>
      </c>
      <c r="T4">
        <f>SUM($N$3:N3)</f>
        <v>0.15</v>
      </c>
      <c r="U4" s="7">
        <f t="shared" ref="U4:U6" si="1">M4</f>
        <v>8</v>
      </c>
    </row>
    <row r="5" spans="1:21" ht="15" thickBot="1" x14ac:dyDescent="0.35">
      <c r="J5">
        <v>11</v>
      </c>
      <c r="K5">
        <v>0.4</v>
      </c>
      <c r="M5" s="8">
        <v>10</v>
      </c>
      <c r="N5">
        <v>0.35</v>
      </c>
      <c r="Q5">
        <f>SUM(K$3:$K4)</f>
        <v>0.30000000000000004</v>
      </c>
      <c r="R5">
        <f t="shared" si="0"/>
        <v>11</v>
      </c>
      <c r="T5">
        <f>SUM($N$3:N4)</f>
        <v>0.55000000000000004</v>
      </c>
      <c r="U5" s="7">
        <f t="shared" si="1"/>
        <v>10</v>
      </c>
    </row>
    <row r="6" spans="1:21" ht="15" thickBot="1" x14ac:dyDescent="0.35">
      <c r="J6">
        <v>12</v>
      </c>
      <c r="K6">
        <v>0.3</v>
      </c>
      <c r="M6" s="8">
        <v>15</v>
      </c>
      <c r="N6">
        <v>0.1</v>
      </c>
      <c r="Q6">
        <f>SUM(K$3:$K5)</f>
        <v>0.70000000000000007</v>
      </c>
      <c r="R6">
        <f t="shared" si="0"/>
        <v>12</v>
      </c>
      <c r="T6">
        <f>SUM($N$3:N5)</f>
        <v>0.9</v>
      </c>
      <c r="U6" s="7">
        <f t="shared" si="1"/>
        <v>15</v>
      </c>
    </row>
    <row r="7" spans="1:21" x14ac:dyDescent="0.3">
      <c r="M7" s="8"/>
      <c r="Q7">
        <f>SUM(K$3:$K6)</f>
        <v>1</v>
      </c>
      <c r="R7" s="8"/>
      <c r="T7">
        <f>SUM($N$3:N6)</f>
        <v>1</v>
      </c>
      <c r="U7" s="7"/>
    </row>
    <row r="8" spans="1:21" ht="15" thickBot="1" x14ac:dyDescent="0.35">
      <c r="M8" s="8"/>
      <c r="R8" s="8"/>
      <c r="U8" s="8"/>
    </row>
    <row r="9" spans="1:21" ht="15" thickBot="1" x14ac:dyDescent="0.35">
      <c r="B9" s="7"/>
      <c r="C9" s="8"/>
      <c r="D9" s="8"/>
      <c r="E9" s="8"/>
      <c r="F9" s="8"/>
      <c r="G9" s="8"/>
      <c r="H9" s="9"/>
      <c r="J9">
        <f>J3*K3+J4*K4+J5*K5+J6*K6</f>
        <v>9.9</v>
      </c>
      <c r="M9" s="9"/>
      <c r="R9" s="9"/>
      <c r="U9" s="9"/>
    </row>
    <row r="11" spans="1:21" x14ac:dyDescent="0.3">
      <c r="M11">
        <f>M3*N3+M4*N4+M5*N5+M6*N6+M7*N7+M8*N8+M9*N9</f>
        <v>9.1</v>
      </c>
    </row>
    <row r="14" spans="1:21" x14ac:dyDescent="0.3">
      <c r="M14">
        <f>VLOOKUP(0.2,T3:U9,2,TRUE)</f>
        <v>8</v>
      </c>
    </row>
    <row r="16" spans="1:21" ht="57.6" x14ac:dyDescent="0.3">
      <c r="A16" t="s">
        <v>23</v>
      </c>
      <c r="B16" s="1" t="s">
        <v>24</v>
      </c>
      <c r="C16" s="3" t="s">
        <v>25</v>
      </c>
      <c r="D16" s="3" t="s">
        <v>26</v>
      </c>
      <c r="E16" s="3" t="s">
        <v>22</v>
      </c>
      <c r="F16" s="3" t="s">
        <v>27</v>
      </c>
      <c r="G16" s="3" t="s">
        <v>28</v>
      </c>
      <c r="H16" s="4" t="s">
        <v>29</v>
      </c>
      <c r="I16" s="4"/>
    </row>
    <row r="17" spans="1:21" x14ac:dyDescent="0.3">
      <c r="A17">
        <v>1</v>
      </c>
      <c r="B17" s="1">
        <f ca="1">R17</f>
        <v>12</v>
      </c>
      <c r="C17" s="6">
        <f ca="1">B17</f>
        <v>12</v>
      </c>
      <c r="D17" s="1">
        <f ca="1">U17</f>
        <v>8</v>
      </c>
      <c r="E17" s="6">
        <f ca="1">MIN(C17,D17)</f>
        <v>8</v>
      </c>
      <c r="F17" s="6">
        <f ca="1">E17</f>
        <v>8</v>
      </c>
      <c r="G17" s="6">
        <f ca="1">C17-E17</f>
        <v>4</v>
      </c>
      <c r="H17">
        <f ca="1">MAX(D17-C17,0)</f>
        <v>0</v>
      </c>
      <c r="R17">
        <f ca="1">VLOOKUP(RAND(),$Q$3:$R$6,2,TRUE)</f>
        <v>12</v>
      </c>
      <c r="U17">
        <f ca="1">VLOOKUP(RAND(),$T$3:$U$9,2,TRUE)</f>
        <v>8</v>
      </c>
    </row>
    <row r="18" spans="1:21" x14ac:dyDescent="0.3">
      <c r="A18">
        <v>2</v>
      </c>
      <c r="B18" s="1">
        <f t="shared" ref="B18:B23" ca="1" si="2">R18</f>
        <v>12</v>
      </c>
      <c r="C18" s="6">
        <f ca="1">G17+B18</f>
        <v>16</v>
      </c>
      <c r="D18" s="1">
        <f t="shared" ref="D18:D23" ca="1" si="3">U18</f>
        <v>10</v>
      </c>
      <c r="E18" s="6">
        <f ca="1">MIN(C18,D18)</f>
        <v>10</v>
      </c>
      <c r="F18" s="6">
        <f ca="1">F17+E18</f>
        <v>18</v>
      </c>
      <c r="G18" s="6">
        <f ca="1">C18-E18</f>
        <v>6</v>
      </c>
      <c r="H18">
        <f t="shared" ref="H18:H23" ca="1" si="4">MAX(D18-C18,0)</f>
        <v>0</v>
      </c>
      <c r="R18">
        <f t="shared" ref="R18:R81" ca="1" si="5">VLOOKUP(RAND(),$Q$3:$R$6,2,TRUE)</f>
        <v>12</v>
      </c>
      <c r="U18">
        <f t="shared" ref="U18:U81" ca="1" si="6">VLOOKUP(RAND(),$T$3:$U$9,2,TRUE)</f>
        <v>10</v>
      </c>
    </row>
    <row r="19" spans="1:21" x14ac:dyDescent="0.3">
      <c r="A19">
        <v>3</v>
      </c>
      <c r="B19" s="1">
        <f t="shared" ca="1" si="2"/>
        <v>12</v>
      </c>
      <c r="C19" s="6">
        <f t="shared" ref="C19:C23" ca="1" si="7">G18+B19</f>
        <v>18</v>
      </c>
      <c r="D19" s="1">
        <f t="shared" ca="1" si="3"/>
        <v>10</v>
      </c>
      <c r="E19" s="6">
        <f t="shared" ref="E19:E23" ca="1" si="8">MIN(C19,D19)</f>
        <v>10</v>
      </c>
      <c r="F19" s="6">
        <f t="shared" ref="F19:F23" ca="1" si="9">F18+E19</f>
        <v>28</v>
      </c>
      <c r="G19" s="6">
        <f t="shared" ref="G19:G23" ca="1" si="10">C19-E19</f>
        <v>8</v>
      </c>
      <c r="H19">
        <f t="shared" ca="1" si="4"/>
        <v>0</v>
      </c>
      <c r="R19">
        <f t="shared" ca="1" si="5"/>
        <v>12</v>
      </c>
      <c r="U19">
        <f t="shared" ca="1" si="6"/>
        <v>10</v>
      </c>
    </row>
    <row r="20" spans="1:21" x14ac:dyDescent="0.3">
      <c r="A20">
        <v>4</v>
      </c>
      <c r="B20" s="1">
        <f t="shared" ca="1" si="2"/>
        <v>11</v>
      </c>
      <c r="C20" s="6">
        <f t="shared" ca="1" si="7"/>
        <v>19</v>
      </c>
      <c r="D20" s="1">
        <f t="shared" ca="1" si="3"/>
        <v>8</v>
      </c>
      <c r="E20" s="6">
        <f t="shared" ca="1" si="8"/>
        <v>8</v>
      </c>
      <c r="F20" s="6">
        <f t="shared" ca="1" si="9"/>
        <v>36</v>
      </c>
      <c r="G20" s="6">
        <f t="shared" ca="1" si="10"/>
        <v>11</v>
      </c>
      <c r="H20">
        <f t="shared" ca="1" si="4"/>
        <v>0</v>
      </c>
      <c r="R20">
        <f t="shared" ca="1" si="5"/>
        <v>11</v>
      </c>
      <c r="U20">
        <f t="shared" ca="1" si="6"/>
        <v>8</v>
      </c>
    </row>
    <row r="21" spans="1:21" x14ac:dyDescent="0.3">
      <c r="A21">
        <v>5</v>
      </c>
      <c r="B21" s="1">
        <f t="shared" ca="1" si="2"/>
        <v>11</v>
      </c>
      <c r="C21" s="6">
        <f t="shared" ca="1" si="7"/>
        <v>22</v>
      </c>
      <c r="D21" s="1">
        <f t="shared" ca="1" si="3"/>
        <v>8</v>
      </c>
      <c r="E21" s="6">
        <f t="shared" ca="1" si="8"/>
        <v>8</v>
      </c>
      <c r="F21" s="6">
        <f t="shared" ca="1" si="9"/>
        <v>44</v>
      </c>
      <c r="G21" s="6">
        <f t="shared" ca="1" si="10"/>
        <v>14</v>
      </c>
      <c r="H21">
        <f t="shared" ca="1" si="4"/>
        <v>0</v>
      </c>
      <c r="R21">
        <f t="shared" ca="1" si="5"/>
        <v>11</v>
      </c>
      <c r="U21">
        <f t="shared" ca="1" si="6"/>
        <v>8</v>
      </c>
    </row>
    <row r="22" spans="1:21" x14ac:dyDescent="0.3">
      <c r="A22">
        <v>6</v>
      </c>
      <c r="B22" s="1">
        <f t="shared" ca="1" si="2"/>
        <v>5</v>
      </c>
      <c r="C22" s="6">
        <f t="shared" ca="1" si="7"/>
        <v>19</v>
      </c>
      <c r="D22" s="1">
        <f t="shared" ca="1" si="3"/>
        <v>8</v>
      </c>
      <c r="E22" s="6">
        <f t="shared" ca="1" si="8"/>
        <v>8</v>
      </c>
      <c r="F22" s="6">
        <f t="shared" ca="1" si="9"/>
        <v>52</v>
      </c>
      <c r="G22" s="6">
        <f t="shared" ca="1" si="10"/>
        <v>11</v>
      </c>
      <c r="H22">
        <f t="shared" ca="1" si="4"/>
        <v>0</v>
      </c>
      <c r="R22">
        <f t="shared" ca="1" si="5"/>
        <v>5</v>
      </c>
      <c r="U22">
        <f t="shared" ca="1" si="6"/>
        <v>8</v>
      </c>
    </row>
    <row r="23" spans="1:21" x14ac:dyDescent="0.3">
      <c r="A23">
        <v>7</v>
      </c>
      <c r="B23" s="1">
        <f t="shared" ca="1" si="2"/>
        <v>11</v>
      </c>
      <c r="C23" s="6">
        <f t="shared" ca="1" si="7"/>
        <v>22</v>
      </c>
      <c r="D23" s="1">
        <f t="shared" ca="1" si="3"/>
        <v>10</v>
      </c>
      <c r="E23" s="6">
        <f t="shared" ca="1" si="8"/>
        <v>10</v>
      </c>
      <c r="F23" s="6">
        <f t="shared" ca="1" si="9"/>
        <v>62</v>
      </c>
      <c r="G23" s="6">
        <f t="shared" ca="1" si="10"/>
        <v>12</v>
      </c>
      <c r="H23">
        <f t="shared" ca="1" si="4"/>
        <v>0</v>
      </c>
      <c r="R23">
        <f t="shared" ca="1" si="5"/>
        <v>11</v>
      </c>
      <c r="U23">
        <f t="shared" ca="1" si="6"/>
        <v>10</v>
      </c>
    </row>
    <row r="24" spans="1:21" x14ac:dyDescent="0.3">
      <c r="A24">
        <v>8</v>
      </c>
      <c r="B24" s="1">
        <f t="shared" ref="B24:B87" ca="1" si="11">R24</f>
        <v>11</v>
      </c>
      <c r="C24" s="6">
        <f t="shared" ref="C24:C87" ca="1" si="12">G23+B24</f>
        <v>23</v>
      </c>
      <c r="D24" s="1">
        <f t="shared" ref="D24:D87" ca="1" si="13">U24</f>
        <v>10</v>
      </c>
      <c r="E24" s="6">
        <f t="shared" ref="E24:E87" ca="1" si="14">MIN(C24,D24)</f>
        <v>10</v>
      </c>
      <c r="F24" s="6">
        <f t="shared" ref="F24:F87" ca="1" si="15">F23+E24</f>
        <v>72</v>
      </c>
      <c r="G24" s="6">
        <f t="shared" ref="G24:G87" ca="1" si="16">C24-E24</f>
        <v>13</v>
      </c>
      <c r="H24">
        <f t="shared" ref="H24:H87" ca="1" si="17">MAX(D24-C24,0)</f>
        <v>0</v>
      </c>
      <c r="R24">
        <f t="shared" ca="1" si="5"/>
        <v>11</v>
      </c>
      <c r="U24">
        <f t="shared" ca="1" si="6"/>
        <v>10</v>
      </c>
    </row>
    <row r="25" spans="1:21" x14ac:dyDescent="0.3">
      <c r="A25">
        <v>9</v>
      </c>
      <c r="B25" s="1">
        <f t="shared" ca="1" si="11"/>
        <v>12</v>
      </c>
      <c r="C25" s="6">
        <f t="shared" ca="1" si="12"/>
        <v>25</v>
      </c>
      <c r="D25" s="1">
        <f t="shared" ca="1" si="13"/>
        <v>10</v>
      </c>
      <c r="E25" s="6">
        <f t="shared" ca="1" si="14"/>
        <v>10</v>
      </c>
      <c r="F25" s="6">
        <f t="shared" ca="1" si="15"/>
        <v>82</v>
      </c>
      <c r="G25" s="6">
        <f t="shared" ca="1" si="16"/>
        <v>15</v>
      </c>
      <c r="H25">
        <f t="shared" ca="1" si="17"/>
        <v>0</v>
      </c>
      <c r="R25">
        <f t="shared" ca="1" si="5"/>
        <v>12</v>
      </c>
      <c r="U25">
        <f t="shared" ca="1" si="6"/>
        <v>10</v>
      </c>
    </row>
    <row r="26" spans="1:21" x14ac:dyDescent="0.3">
      <c r="A26">
        <v>10</v>
      </c>
      <c r="B26" s="1">
        <f t="shared" ca="1" si="11"/>
        <v>12</v>
      </c>
      <c r="C26" s="6">
        <f t="shared" ca="1" si="12"/>
        <v>27</v>
      </c>
      <c r="D26" s="1">
        <f t="shared" ca="1" si="13"/>
        <v>15</v>
      </c>
      <c r="E26" s="6">
        <f t="shared" ca="1" si="14"/>
        <v>15</v>
      </c>
      <c r="F26" s="6">
        <f t="shared" ca="1" si="15"/>
        <v>97</v>
      </c>
      <c r="G26" s="6">
        <f t="shared" ca="1" si="16"/>
        <v>12</v>
      </c>
      <c r="H26">
        <f t="shared" ca="1" si="17"/>
        <v>0</v>
      </c>
      <c r="R26">
        <f t="shared" ca="1" si="5"/>
        <v>12</v>
      </c>
      <c r="U26">
        <f t="shared" ca="1" si="6"/>
        <v>15</v>
      </c>
    </row>
    <row r="27" spans="1:21" x14ac:dyDescent="0.3">
      <c r="A27">
        <v>11</v>
      </c>
      <c r="B27" s="1">
        <f t="shared" ca="1" si="11"/>
        <v>11</v>
      </c>
      <c r="C27" s="6">
        <f t="shared" ca="1" si="12"/>
        <v>23</v>
      </c>
      <c r="D27" s="1">
        <f t="shared" ca="1" si="13"/>
        <v>10</v>
      </c>
      <c r="E27" s="6">
        <f t="shared" ca="1" si="14"/>
        <v>10</v>
      </c>
      <c r="F27" s="6">
        <f t="shared" ca="1" si="15"/>
        <v>107</v>
      </c>
      <c r="G27" s="6">
        <f t="shared" ca="1" si="16"/>
        <v>13</v>
      </c>
      <c r="H27">
        <f t="shared" ca="1" si="17"/>
        <v>0</v>
      </c>
      <c r="R27">
        <f t="shared" ca="1" si="5"/>
        <v>11</v>
      </c>
      <c r="U27">
        <f t="shared" ca="1" si="6"/>
        <v>10</v>
      </c>
    </row>
    <row r="28" spans="1:21" x14ac:dyDescent="0.3">
      <c r="A28">
        <v>12</v>
      </c>
      <c r="B28" s="1">
        <f t="shared" ca="1" si="11"/>
        <v>11</v>
      </c>
      <c r="C28" s="6">
        <f t="shared" ca="1" si="12"/>
        <v>24</v>
      </c>
      <c r="D28" s="1">
        <f t="shared" ca="1" si="13"/>
        <v>8</v>
      </c>
      <c r="E28" s="6">
        <f t="shared" ca="1" si="14"/>
        <v>8</v>
      </c>
      <c r="F28" s="6">
        <f t="shared" ca="1" si="15"/>
        <v>115</v>
      </c>
      <c r="G28" s="6">
        <f t="shared" ca="1" si="16"/>
        <v>16</v>
      </c>
      <c r="H28">
        <f t="shared" ca="1" si="17"/>
        <v>0</v>
      </c>
      <c r="R28">
        <f t="shared" ca="1" si="5"/>
        <v>11</v>
      </c>
      <c r="U28">
        <f t="shared" ca="1" si="6"/>
        <v>8</v>
      </c>
    </row>
    <row r="29" spans="1:21" x14ac:dyDescent="0.3">
      <c r="A29">
        <v>13</v>
      </c>
      <c r="B29" s="1">
        <f t="shared" ca="1" si="11"/>
        <v>12</v>
      </c>
      <c r="C29" s="6">
        <f t="shared" ca="1" si="12"/>
        <v>28</v>
      </c>
      <c r="D29" s="1">
        <f t="shared" ca="1" si="13"/>
        <v>8</v>
      </c>
      <c r="E29" s="6">
        <f t="shared" ca="1" si="14"/>
        <v>8</v>
      </c>
      <c r="F29" s="6">
        <f t="shared" ca="1" si="15"/>
        <v>123</v>
      </c>
      <c r="G29" s="6">
        <f t="shared" ca="1" si="16"/>
        <v>20</v>
      </c>
      <c r="H29">
        <f t="shared" ca="1" si="17"/>
        <v>0</v>
      </c>
      <c r="R29">
        <f t="shared" ca="1" si="5"/>
        <v>12</v>
      </c>
      <c r="U29">
        <f t="shared" ca="1" si="6"/>
        <v>8</v>
      </c>
    </row>
    <row r="30" spans="1:21" x14ac:dyDescent="0.3">
      <c r="A30">
        <v>14</v>
      </c>
      <c r="B30" s="1">
        <f t="shared" ca="1" si="11"/>
        <v>12</v>
      </c>
      <c r="C30" s="6">
        <f t="shared" ca="1" si="12"/>
        <v>32</v>
      </c>
      <c r="D30" s="1">
        <f t="shared" ca="1" si="13"/>
        <v>8</v>
      </c>
      <c r="E30" s="6">
        <f t="shared" ca="1" si="14"/>
        <v>8</v>
      </c>
      <c r="F30" s="6">
        <f t="shared" ca="1" si="15"/>
        <v>131</v>
      </c>
      <c r="G30" s="6">
        <f t="shared" ca="1" si="16"/>
        <v>24</v>
      </c>
      <c r="H30">
        <f t="shared" ca="1" si="17"/>
        <v>0</v>
      </c>
      <c r="R30">
        <f t="shared" ca="1" si="5"/>
        <v>12</v>
      </c>
      <c r="U30">
        <f t="shared" ca="1" si="6"/>
        <v>8</v>
      </c>
    </row>
    <row r="31" spans="1:21" x14ac:dyDescent="0.3">
      <c r="A31">
        <v>15</v>
      </c>
      <c r="B31" s="1">
        <f t="shared" ca="1" si="11"/>
        <v>5</v>
      </c>
      <c r="C31" s="6">
        <f t="shared" ca="1" si="12"/>
        <v>29</v>
      </c>
      <c r="D31" s="1">
        <f t="shared" ca="1" si="13"/>
        <v>10</v>
      </c>
      <c r="E31" s="6">
        <f t="shared" ca="1" si="14"/>
        <v>10</v>
      </c>
      <c r="F31" s="6">
        <f t="shared" ca="1" si="15"/>
        <v>141</v>
      </c>
      <c r="G31" s="6">
        <f t="shared" ca="1" si="16"/>
        <v>19</v>
      </c>
      <c r="H31">
        <f t="shared" ca="1" si="17"/>
        <v>0</v>
      </c>
      <c r="R31">
        <f t="shared" ca="1" si="5"/>
        <v>5</v>
      </c>
      <c r="U31">
        <f t="shared" ca="1" si="6"/>
        <v>10</v>
      </c>
    </row>
    <row r="32" spans="1:21" x14ac:dyDescent="0.3">
      <c r="A32">
        <v>16</v>
      </c>
      <c r="B32" s="1">
        <f t="shared" ca="1" si="11"/>
        <v>12</v>
      </c>
      <c r="C32" s="6">
        <f t="shared" ca="1" si="12"/>
        <v>31</v>
      </c>
      <c r="D32" s="1">
        <f t="shared" ca="1" si="13"/>
        <v>6</v>
      </c>
      <c r="E32" s="6">
        <f t="shared" ca="1" si="14"/>
        <v>6</v>
      </c>
      <c r="F32" s="6">
        <f t="shared" ca="1" si="15"/>
        <v>147</v>
      </c>
      <c r="G32" s="6">
        <f t="shared" ca="1" si="16"/>
        <v>25</v>
      </c>
      <c r="H32">
        <f t="shared" ca="1" si="17"/>
        <v>0</v>
      </c>
      <c r="R32">
        <f t="shared" ca="1" si="5"/>
        <v>12</v>
      </c>
      <c r="U32">
        <f t="shared" ca="1" si="6"/>
        <v>6</v>
      </c>
    </row>
    <row r="33" spans="1:21" x14ac:dyDescent="0.3">
      <c r="A33">
        <v>17</v>
      </c>
      <c r="B33" s="1">
        <f t="shared" ca="1" si="11"/>
        <v>7</v>
      </c>
      <c r="C33" s="6">
        <f t="shared" ca="1" si="12"/>
        <v>32</v>
      </c>
      <c r="D33" s="1">
        <f t="shared" ca="1" si="13"/>
        <v>6</v>
      </c>
      <c r="E33" s="6">
        <f t="shared" ca="1" si="14"/>
        <v>6</v>
      </c>
      <c r="F33" s="6">
        <f t="shared" ca="1" si="15"/>
        <v>153</v>
      </c>
      <c r="G33" s="6">
        <f t="shared" ca="1" si="16"/>
        <v>26</v>
      </c>
      <c r="H33">
        <f t="shared" ca="1" si="17"/>
        <v>0</v>
      </c>
      <c r="R33">
        <f t="shared" ca="1" si="5"/>
        <v>7</v>
      </c>
      <c r="U33">
        <f t="shared" ca="1" si="6"/>
        <v>6</v>
      </c>
    </row>
    <row r="34" spans="1:21" x14ac:dyDescent="0.3">
      <c r="A34">
        <v>18</v>
      </c>
      <c r="B34" s="1">
        <f t="shared" ca="1" si="11"/>
        <v>7</v>
      </c>
      <c r="C34" s="6">
        <f t="shared" ca="1" si="12"/>
        <v>33</v>
      </c>
      <c r="D34" s="1">
        <f t="shared" ca="1" si="13"/>
        <v>8</v>
      </c>
      <c r="E34" s="6">
        <f t="shared" ca="1" si="14"/>
        <v>8</v>
      </c>
      <c r="F34" s="6">
        <f t="shared" ca="1" si="15"/>
        <v>161</v>
      </c>
      <c r="G34" s="6">
        <f t="shared" ca="1" si="16"/>
        <v>25</v>
      </c>
      <c r="H34">
        <f t="shared" ca="1" si="17"/>
        <v>0</v>
      </c>
      <c r="R34">
        <f t="shared" ca="1" si="5"/>
        <v>7</v>
      </c>
      <c r="U34">
        <f t="shared" ca="1" si="6"/>
        <v>8</v>
      </c>
    </row>
    <row r="35" spans="1:21" x14ac:dyDescent="0.3">
      <c r="A35">
        <v>19</v>
      </c>
      <c r="B35" s="1">
        <f t="shared" ca="1" si="11"/>
        <v>12</v>
      </c>
      <c r="C35" s="6">
        <f t="shared" ca="1" si="12"/>
        <v>37</v>
      </c>
      <c r="D35" s="1">
        <f t="shared" ca="1" si="13"/>
        <v>8</v>
      </c>
      <c r="E35" s="6">
        <f t="shared" ca="1" si="14"/>
        <v>8</v>
      </c>
      <c r="F35" s="6">
        <f t="shared" ca="1" si="15"/>
        <v>169</v>
      </c>
      <c r="G35" s="6">
        <f t="shared" ca="1" si="16"/>
        <v>29</v>
      </c>
      <c r="H35">
        <f t="shared" ca="1" si="17"/>
        <v>0</v>
      </c>
      <c r="R35">
        <f t="shared" ca="1" si="5"/>
        <v>12</v>
      </c>
      <c r="U35">
        <f t="shared" ca="1" si="6"/>
        <v>8</v>
      </c>
    </row>
    <row r="36" spans="1:21" x14ac:dyDescent="0.3">
      <c r="A36">
        <v>20</v>
      </c>
      <c r="B36" s="1">
        <f t="shared" ca="1" si="11"/>
        <v>11</v>
      </c>
      <c r="C36" s="6">
        <f t="shared" ca="1" si="12"/>
        <v>40</v>
      </c>
      <c r="D36" s="1">
        <f t="shared" ca="1" si="13"/>
        <v>8</v>
      </c>
      <c r="E36" s="6">
        <f t="shared" ca="1" si="14"/>
        <v>8</v>
      </c>
      <c r="F36" s="6">
        <f t="shared" ca="1" si="15"/>
        <v>177</v>
      </c>
      <c r="G36" s="6">
        <f t="shared" ca="1" si="16"/>
        <v>32</v>
      </c>
      <c r="H36">
        <f t="shared" ca="1" si="17"/>
        <v>0</v>
      </c>
      <c r="R36">
        <f t="shared" ca="1" si="5"/>
        <v>11</v>
      </c>
      <c r="U36">
        <f t="shared" ca="1" si="6"/>
        <v>8</v>
      </c>
    </row>
    <row r="37" spans="1:21" x14ac:dyDescent="0.3">
      <c r="A37">
        <v>21</v>
      </c>
      <c r="B37" s="1">
        <f t="shared" ca="1" si="11"/>
        <v>12</v>
      </c>
      <c r="C37" s="6">
        <f t="shared" ca="1" si="12"/>
        <v>44</v>
      </c>
      <c r="D37" s="1">
        <f t="shared" ca="1" si="13"/>
        <v>8</v>
      </c>
      <c r="E37" s="6">
        <f t="shared" ca="1" si="14"/>
        <v>8</v>
      </c>
      <c r="F37" s="6">
        <f t="shared" ca="1" si="15"/>
        <v>185</v>
      </c>
      <c r="G37" s="6">
        <f t="shared" ca="1" si="16"/>
        <v>36</v>
      </c>
      <c r="H37">
        <f t="shared" ca="1" si="17"/>
        <v>0</v>
      </c>
      <c r="R37">
        <f t="shared" ca="1" si="5"/>
        <v>12</v>
      </c>
      <c r="U37">
        <f t="shared" ca="1" si="6"/>
        <v>8</v>
      </c>
    </row>
    <row r="38" spans="1:21" x14ac:dyDescent="0.3">
      <c r="A38">
        <v>22</v>
      </c>
      <c r="B38" s="1">
        <f t="shared" ca="1" si="11"/>
        <v>5</v>
      </c>
      <c r="C38" s="6">
        <f t="shared" ca="1" si="12"/>
        <v>41</v>
      </c>
      <c r="D38" s="1">
        <f t="shared" ca="1" si="13"/>
        <v>10</v>
      </c>
      <c r="E38" s="6">
        <f t="shared" ca="1" si="14"/>
        <v>10</v>
      </c>
      <c r="F38" s="6">
        <f t="shared" ca="1" si="15"/>
        <v>195</v>
      </c>
      <c r="G38" s="6">
        <f t="shared" ca="1" si="16"/>
        <v>31</v>
      </c>
      <c r="H38">
        <f t="shared" ca="1" si="17"/>
        <v>0</v>
      </c>
      <c r="R38">
        <f t="shared" ca="1" si="5"/>
        <v>5</v>
      </c>
      <c r="U38">
        <f t="shared" ca="1" si="6"/>
        <v>10</v>
      </c>
    </row>
    <row r="39" spans="1:21" x14ac:dyDescent="0.3">
      <c r="A39">
        <v>23</v>
      </c>
      <c r="B39" s="1">
        <f t="shared" ca="1" si="11"/>
        <v>12</v>
      </c>
      <c r="C39" s="6">
        <f t="shared" ca="1" si="12"/>
        <v>43</v>
      </c>
      <c r="D39" s="1">
        <f t="shared" ca="1" si="13"/>
        <v>10</v>
      </c>
      <c r="E39" s="6">
        <f t="shared" ca="1" si="14"/>
        <v>10</v>
      </c>
      <c r="F39" s="6">
        <f t="shared" ca="1" si="15"/>
        <v>205</v>
      </c>
      <c r="G39" s="6">
        <f t="shared" ca="1" si="16"/>
        <v>33</v>
      </c>
      <c r="H39">
        <f t="shared" ca="1" si="17"/>
        <v>0</v>
      </c>
      <c r="R39">
        <f t="shared" ca="1" si="5"/>
        <v>12</v>
      </c>
      <c r="U39">
        <f t="shared" ca="1" si="6"/>
        <v>10</v>
      </c>
    </row>
    <row r="40" spans="1:21" x14ac:dyDescent="0.3">
      <c r="A40">
        <v>24</v>
      </c>
      <c r="B40" s="1">
        <f t="shared" ca="1" si="11"/>
        <v>7</v>
      </c>
      <c r="C40" s="6">
        <f t="shared" ca="1" si="12"/>
        <v>40</v>
      </c>
      <c r="D40" s="1">
        <f t="shared" ca="1" si="13"/>
        <v>6</v>
      </c>
      <c r="E40" s="6">
        <f t="shared" ca="1" si="14"/>
        <v>6</v>
      </c>
      <c r="F40" s="6">
        <f t="shared" ca="1" si="15"/>
        <v>211</v>
      </c>
      <c r="G40" s="6">
        <f t="shared" ca="1" si="16"/>
        <v>34</v>
      </c>
      <c r="H40">
        <f t="shared" ca="1" si="17"/>
        <v>0</v>
      </c>
      <c r="R40">
        <f t="shared" ca="1" si="5"/>
        <v>7</v>
      </c>
      <c r="U40">
        <f t="shared" ca="1" si="6"/>
        <v>6</v>
      </c>
    </row>
    <row r="41" spans="1:21" x14ac:dyDescent="0.3">
      <c r="A41">
        <v>25</v>
      </c>
      <c r="B41" s="1">
        <f t="shared" ca="1" si="11"/>
        <v>11</v>
      </c>
      <c r="C41" s="6">
        <f t="shared" ca="1" si="12"/>
        <v>45</v>
      </c>
      <c r="D41" s="1">
        <f t="shared" ca="1" si="13"/>
        <v>6</v>
      </c>
      <c r="E41" s="6">
        <f t="shared" ca="1" si="14"/>
        <v>6</v>
      </c>
      <c r="F41" s="6">
        <f t="shared" ca="1" si="15"/>
        <v>217</v>
      </c>
      <c r="G41" s="6">
        <f t="shared" ca="1" si="16"/>
        <v>39</v>
      </c>
      <c r="H41">
        <f t="shared" ca="1" si="17"/>
        <v>0</v>
      </c>
      <c r="R41">
        <f t="shared" ca="1" si="5"/>
        <v>11</v>
      </c>
      <c r="U41">
        <f t="shared" ca="1" si="6"/>
        <v>6</v>
      </c>
    </row>
    <row r="42" spans="1:21" x14ac:dyDescent="0.3">
      <c r="A42">
        <v>26</v>
      </c>
      <c r="B42" s="1">
        <f t="shared" ca="1" si="11"/>
        <v>12</v>
      </c>
      <c r="C42" s="6">
        <f t="shared" ca="1" si="12"/>
        <v>51</v>
      </c>
      <c r="D42" s="1">
        <f t="shared" ca="1" si="13"/>
        <v>8</v>
      </c>
      <c r="E42" s="6">
        <f t="shared" ca="1" si="14"/>
        <v>8</v>
      </c>
      <c r="F42" s="6">
        <f t="shared" ca="1" si="15"/>
        <v>225</v>
      </c>
      <c r="G42" s="6">
        <f t="shared" ca="1" si="16"/>
        <v>43</v>
      </c>
      <c r="H42">
        <f t="shared" ca="1" si="17"/>
        <v>0</v>
      </c>
      <c r="R42">
        <f t="shared" ca="1" si="5"/>
        <v>12</v>
      </c>
      <c r="U42">
        <f t="shared" ca="1" si="6"/>
        <v>8</v>
      </c>
    </row>
    <row r="43" spans="1:21" x14ac:dyDescent="0.3">
      <c r="A43">
        <v>27</v>
      </c>
      <c r="B43" s="1">
        <f t="shared" ca="1" si="11"/>
        <v>12</v>
      </c>
      <c r="C43" s="6">
        <f t="shared" ca="1" si="12"/>
        <v>55</v>
      </c>
      <c r="D43" s="1">
        <f t="shared" ca="1" si="13"/>
        <v>10</v>
      </c>
      <c r="E43" s="6">
        <f t="shared" ca="1" si="14"/>
        <v>10</v>
      </c>
      <c r="F43" s="6">
        <f t="shared" ca="1" si="15"/>
        <v>235</v>
      </c>
      <c r="G43" s="6">
        <f t="shared" ca="1" si="16"/>
        <v>45</v>
      </c>
      <c r="H43">
        <f t="shared" ca="1" si="17"/>
        <v>0</v>
      </c>
      <c r="R43">
        <f t="shared" ca="1" si="5"/>
        <v>12</v>
      </c>
      <c r="U43">
        <f t="shared" ca="1" si="6"/>
        <v>10</v>
      </c>
    </row>
    <row r="44" spans="1:21" x14ac:dyDescent="0.3">
      <c r="A44">
        <v>28</v>
      </c>
      <c r="B44" s="1">
        <f t="shared" ca="1" si="11"/>
        <v>12</v>
      </c>
      <c r="C44" s="6">
        <f t="shared" ca="1" si="12"/>
        <v>57</v>
      </c>
      <c r="D44" s="1">
        <f t="shared" ca="1" si="13"/>
        <v>15</v>
      </c>
      <c r="E44" s="6">
        <f t="shared" ca="1" si="14"/>
        <v>15</v>
      </c>
      <c r="F44" s="6">
        <f t="shared" ca="1" si="15"/>
        <v>250</v>
      </c>
      <c r="G44" s="6">
        <f t="shared" ca="1" si="16"/>
        <v>42</v>
      </c>
      <c r="H44">
        <f t="shared" ca="1" si="17"/>
        <v>0</v>
      </c>
      <c r="R44">
        <f t="shared" ca="1" si="5"/>
        <v>12</v>
      </c>
      <c r="U44">
        <f t="shared" ca="1" si="6"/>
        <v>15</v>
      </c>
    </row>
    <row r="45" spans="1:21" x14ac:dyDescent="0.3">
      <c r="A45">
        <v>29</v>
      </c>
      <c r="B45" s="1">
        <f t="shared" ca="1" si="11"/>
        <v>7</v>
      </c>
      <c r="C45" s="6">
        <f t="shared" ca="1" si="12"/>
        <v>49</v>
      </c>
      <c r="D45" s="1">
        <f t="shared" ca="1" si="13"/>
        <v>6</v>
      </c>
      <c r="E45" s="6">
        <f t="shared" ca="1" si="14"/>
        <v>6</v>
      </c>
      <c r="F45" s="6">
        <f t="shared" ca="1" si="15"/>
        <v>256</v>
      </c>
      <c r="G45" s="6">
        <f t="shared" ca="1" si="16"/>
        <v>43</v>
      </c>
      <c r="H45">
        <f t="shared" ca="1" si="17"/>
        <v>0</v>
      </c>
      <c r="R45">
        <f t="shared" ca="1" si="5"/>
        <v>7</v>
      </c>
      <c r="U45">
        <f t="shared" ca="1" si="6"/>
        <v>6</v>
      </c>
    </row>
    <row r="46" spans="1:21" x14ac:dyDescent="0.3">
      <c r="A46">
        <v>30</v>
      </c>
      <c r="B46" s="1">
        <f t="shared" ca="1" si="11"/>
        <v>7</v>
      </c>
      <c r="C46" s="6">
        <f t="shared" ca="1" si="12"/>
        <v>50</v>
      </c>
      <c r="D46" s="1">
        <f t="shared" ca="1" si="13"/>
        <v>10</v>
      </c>
      <c r="E46" s="6">
        <f t="shared" ca="1" si="14"/>
        <v>10</v>
      </c>
      <c r="F46" s="6">
        <f t="shared" ca="1" si="15"/>
        <v>266</v>
      </c>
      <c r="G46" s="6">
        <f t="shared" ca="1" si="16"/>
        <v>40</v>
      </c>
      <c r="H46">
        <f t="shared" ca="1" si="17"/>
        <v>0</v>
      </c>
      <c r="R46">
        <f t="shared" ca="1" si="5"/>
        <v>7</v>
      </c>
      <c r="U46">
        <f t="shared" ca="1" si="6"/>
        <v>10</v>
      </c>
    </row>
    <row r="47" spans="1:21" x14ac:dyDescent="0.3">
      <c r="A47">
        <v>31</v>
      </c>
      <c r="B47" s="1">
        <f t="shared" ca="1" si="11"/>
        <v>11</v>
      </c>
      <c r="C47" s="6">
        <f t="shared" ca="1" si="12"/>
        <v>51</v>
      </c>
      <c r="D47" s="1">
        <f t="shared" ca="1" si="13"/>
        <v>10</v>
      </c>
      <c r="E47" s="6">
        <f t="shared" ca="1" si="14"/>
        <v>10</v>
      </c>
      <c r="F47" s="6">
        <f t="shared" ca="1" si="15"/>
        <v>276</v>
      </c>
      <c r="G47" s="6">
        <f t="shared" ca="1" si="16"/>
        <v>41</v>
      </c>
      <c r="H47">
        <f t="shared" ca="1" si="17"/>
        <v>0</v>
      </c>
      <c r="R47">
        <f t="shared" ca="1" si="5"/>
        <v>11</v>
      </c>
      <c r="U47">
        <f t="shared" ca="1" si="6"/>
        <v>10</v>
      </c>
    </row>
    <row r="48" spans="1:21" x14ac:dyDescent="0.3">
      <c r="A48">
        <v>32</v>
      </c>
      <c r="B48" s="1">
        <f t="shared" ca="1" si="11"/>
        <v>11</v>
      </c>
      <c r="C48" s="6">
        <f t="shared" ca="1" si="12"/>
        <v>52</v>
      </c>
      <c r="D48" s="1">
        <f t="shared" ca="1" si="13"/>
        <v>8</v>
      </c>
      <c r="E48" s="6">
        <f t="shared" ca="1" si="14"/>
        <v>8</v>
      </c>
      <c r="F48" s="6">
        <f t="shared" ca="1" si="15"/>
        <v>284</v>
      </c>
      <c r="G48" s="6">
        <f t="shared" ca="1" si="16"/>
        <v>44</v>
      </c>
      <c r="H48">
        <f t="shared" ca="1" si="17"/>
        <v>0</v>
      </c>
      <c r="R48">
        <f t="shared" ca="1" si="5"/>
        <v>11</v>
      </c>
      <c r="U48">
        <f t="shared" ca="1" si="6"/>
        <v>8</v>
      </c>
    </row>
    <row r="49" spans="1:21" x14ac:dyDescent="0.3">
      <c r="A49">
        <v>33</v>
      </c>
      <c r="B49" s="1">
        <f t="shared" ca="1" si="11"/>
        <v>11</v>
      </c>
      <c r="C49" s="6">
        <f t="shared" ca="1" si="12"/>
        <v>55</v>
      </c>
      <c r="D49" s="1">
        <f t="shared" ca="1" si="13"/>
        <v>8</v>
      </c>
      <c r="E49" s="6">
        <f t="shared" ca="1" si="14"/>
        <v>8</v>
      </c>
      <c r="F49" s="6">
        <f t="shared" ca="1" si="15"/>
        <v>292</v>
      </c>
      <c r="G49" s="6">
        <f t="shared" ca="1" si="16"/>
        <v>47</v>
      </c>
      <c r="H49">
        <f t="shared" ca="1" si="17"/>
        <v>0</v>
      </c>
      <c r="R49">
        <f t="shared" ca="1" si="5"/>
        <v>11</v>
      </c>
      <c r="U49">
        <f t="shared" ca="1" si="6"/>
        <v>8</v>
      </c>
    </row>
    <row r="50" spans="1:21" x14ac:dyDescent="0.3">
      <c r="A50">
        <v>34</v>
      </c>
      <c r="B50" s="1">
        <f t="shared" ca="1" si="11"/>
        <v>5</v>
      </c>
      <c r="C50" s="6">
        <f t="shared" ca="1" si="12"/>
        <v>52</v>
      </c>
      <c r="D50" s="1">
        <f t="shared" ca="1" si="13"/>
        <v>8</v>
      </c>
      <c r="E50" s="6">
        <f t="shared" ca="1" si="14"/>
        <v>8</v>
      </c>
      <c r="F50" s="6">
        <f t="shared" ca="1" si="15"/>
        <v>300</v>
      </c>
      <c r="G50" s="6">
        <f t="shared" ca="1" si="16"/>
        <v>44</v>
      </c>
      <c r="H50">
        <f t="shared" ca="1" si="17"/>
        <v>0</v>
      </c>
      <c r="R50">
        <f t="shared" ca="1" si="5"/>
        <v>5</v>
      </c>
      <c r="U50">
        <f t="shared" ca="1" si="6"/>
        <v>8</v>
      </c>
    </row>
    <row r="51" spans="1:21" x14ac:dyDescent="0.3">
      <c r="A51">
        <v>35</v>
      </c>
      <c r="B51" s="1">
        <f t="shared" ca="1" si="11"/>
        <v>11</v>
      </c>
      <c r="C51" s="6">
        <f t="shared" ca="1" si="12"/>
        <v>55</v>
      </c>
      <c r="D51" s="1">
        <f t="shared" ca="1" si="13"/>
        <v>8</v>
      </c>
      <c r="E51" s="6">
        <f t="shared" ca="1" si="14"/>
        <v>8</v>
      </c>
      <c r="F51" s="6">
        <f t="shared" ca="1" si="15"/>
        <v>308</v>
      </c>
      <c r="G51" s="6">
        <f t="shared" ca="1" si="16"/>
        <v>47</v>
      </c>
      <c r="H51">
        <f t="shared" ca="1" si="17"/>
        <v>0</v>
      </c>
      <c r="R51">
        <f t="shared" ca="1" si="5"/>
        <v>11</v>
      </c>
      <c r="U51">
        <f t="shared" ca="1" si="6"/>
        <v>8</v>
      </c>
    </row>
    <row r="52" spans="1:21" x14ac:dyDescent="0.3">
      <c r="A52">
        <v>36</v>
      </c>
      <c r="B52" s="1">
        <f t="shared" ca="1" si="11"/>
        <v>5</v>
      </c>
      <c r="C52" s="6">
        <f t="shared" ca="1" si="12"/>
        <v>52</v>
      </c>
      <c r="D52" s="1">
        <f t="shared" ca="1" si="13"/>
        <v>10</v>
      </c>
      <c r="E52" s="6">
        <f t="shared" ca="1" si="14"/>
        <v>10</v>
      </c>
      <c r="F52" s="6">
        <f t="shared" ca="1" si="15"/>
        <v>318</v>
      </c>
      <c r="G52" s="6">
        <f t="shared" ca="1" si="16"/>
        <v>42</v>
      </c>
      <c r="H52">
        <f t="shared" ca="1" si="17"/>
        <v>0</v>
      </c>
      <c r="R52">
        <f t="shared" ca="1" si="5"/>
        <v>5</v>
      </c>
      <c r="U52">
        <f t="shared" ca="1" si="6"/>
        <v>10</v>
      </c>
    </row>
    <row r="53" spans="1:21" x14ac:dyDescent="0.3">
      <c r="A53">
        <v>37</v>
      </c>
      <c r="B53" s="1">
        <f t="shared" ca="1" si="11"/>
        <v>11</v>
      </c>
      <c r="C53" s="6">
        <f t="shared" ca="1" si="12"/>
        <v>53</v>
      </c>
      <c r="D53" s="1">
        <f t="shared" ca="1" si="13"/>
        <v>8</v>
      </c>
      <c r="E53" s="6">
        <f t="shared" ca="1" si="14"/>
        <v>8</v>
      </c>
      <c r="F53" s="6">
        <f t="shared" ca="1" si="15"/>
        <v>326</v>
      </c>
      <c r="G53" s="6">
        <f t="shared" ca="1" si="16"/>
        <v>45</v>
      </c>
      <c r="H53">
        <f t="shared" ca="1" si="17"/>
        <v>0</v>
      </c>
      <c r="R53">
        <f t="shared" ca="1" si="5"/>
        <v>11</v>
      </c>
      <c r="U53">
        <f t="shared" ca="1" si="6"/>
        <v>8</v>
      </c>
    </row>
    <row r="54" spans="1:21" x14ac:dyDescent="0.3">
      <c r="A54">
        <v>38</v>
      </c>
      <c r="B54" s="1">
        <f t="shared" ca="1" si="11"/>
        <v>5</v>
      </c>
      <c r="C54" s="6">
        <f t="shared" ca="1" si="12"/>
        <v>50</v>
      </c>
      <c r="D54" s="1">
        <f t="shared" ca="1" si="13"/>
        <v>8</v>
      </c>
      <c r="E54" s="6">
        <f t="shared" ca="1" si="14"/>
        <v>8</v>
      </c>
      <c r="F54" s="6">
        <f t="shared" ca="1" si="15"/>
        <v>334</v>
      </c>
      <c r="G54" s="6">
        <f t="shared" ca="1" si="16"/>
        <v>42</v>
      </c>
      <c r="H54">
        <f t="shared" ca="1" si="17"/>
        <v>0</v>
      </c>
      <c r="R54">
        <f t="shared" ca="1" si="5"/>
        <v>5</v>
      </c>
      <c r="U54">
        <f t="shared" ca="1" si="6"/>
        <v>8</v>
      </c>
    </row>
    <row r="55" spans="1:21" x14ac:dyDescent="0.3">
      <c r="A55">
        <v>39</v>
      </c>
      <c r="B55" s="1">
        <f t="shared" ca="1" si="11"/>
        <v>11</v>
      </c>
      <c r="C55" s="6">
        <f t="shared" ca="1" si="12"/>
        <v>53</v>
      </c>
      <c r="D55" s="1">
        <f t="shared" ca="1" si="13"/>
        <v>6</v>
      </c>
      <c r="E55" s="6">
        <f t="shared" ca="1" si="14"/>
        <v>6</v>
      </c>
      <c r="F55" s="6">
        <f t="shared" ca="1" si="15"/>
        <v>340</v>
      </c>
      <c r="G55" s="6">
        <f t="shared" ca="1" si="16"/>
        <v>47</v>
      </c>
      <c r="H55">
        <f t="shared" ca="1" si="17"/>
        <v>0</v>
      </c>
      <c r="R55">
        <f t="shared" ca="1" si="5"/>
        <v>11</v>
      </c>
      <c r="U55">
        <f t="shared" ca="1" si="6"/>
        <v>6</v>
      </c>
    </row>
    <row r="56" spans="1:21" x14ac:dyDescent="0.3">
      <c r="A56">
        <v>40</v>
      </c>
      <c r="B56" s="1">
        <f t="shared" ca="1" si="11"/>
        <v>12</v>
      </c>
      <c r="C56" s="6">
        <f t="shared" ca="1" si="12"/>
        <v>59</v>
      </c>
      <c r="D56" s="1">
        <f t="shared" ca="1" si="13"/>
        <v>6</v>
      </c>
      <c r="E56" s="6">
        <f t="shared" ca="1" si="14"/>
        <v>6</v>
      </c>
      <c r="F56" s="6">
        <f t="shared" ca="1" si="15"/>
        <v>346</v>
      </c>
      <c r="G56" s="6">
        <f t="shared" ca="1" si="16"/>
        <v>53</v>
      </c>
      <c r="H56">
        <f t="shared" ca="1" si="17"/>
        <v>0</v>
      </c>
      <c r="R56">
        <f t="shared" ca="1" si="5"/>
        <v>12</v>
      </c>
      <c r="U56">
        <f t="shared" ca="1" si="6"/>
        <v>6</v>
      </c>
    </row>
    <row r="57" spans="1:21" x14ac:dyDescent="0.3">
      <c r="A57">
        <v>41</v>
      </c>
      <c r="B57" s="1">
        <f t="shared" ca="1" si="11"/>
        <v>7</v>
      </c>
      <c r="C57" s="6">
        <f t="shared" ca="1" si="12"/>
        <v>60</v>
      </c>
      <c r="D57" s="1">
        <f t="shared" ca="1" si="13"/>
        <v>10</v>
      </c>
      <c r="E57" s="6">
        <f t="shared" ca="1" si="14"/>
        <v>10</v>
      </c>
      <c r="F57" s="6">
        <f t="shared" ca="1" si="15"/>
        <v>356</v>
      </c>
      <c r="G57" s="6">
        <f t="shared" ca="1" si="16"/>
        <v>50</v>
      </c>
      <c r="H57">
        <f t="shared" ca="1" si="17"/>
        <v>0</v>
      </c>
      <c r="R57">
        <f t="shared" ca="1" si="5"/>
        <v>7</v>
      </c>
      <c r="U57">
        <f t="shared" ca="1" si="6"/>
        <v>10</v>
      </c>
    </row>
    <row r="58" spans="1:21" x14ac:dyDescent="0.3">
      <c r="A58">
        <v>42</v>
      </c>
      <c r="B58" s="1">
        <f t="shared" ca="1" si="11"/>
        <v>11</v>
      </c>
      <c r="C58" s="6">
        <f t="shared" ca="1" si="12"/>
        <v>61</v>
      </c>
      <c r="D58" s="1">
        <f t="shared" ca="1" si="13"/>
        <v>8</v>
      </c>
      <c r="E58" s="6">
        <f t="shared" ca="1" si="14"/>
        <v>8</v>
      </c>
      <c r="F58" s="6">
        <f t="shared" ca="1" si="15"/>
        <v>364</v>
      </c>
      <c r="G58" s="6">
        <f t="shared" ca="1" si="16"/>
        <v>53</v>
      </c>
      <c r="H58">
        <f t="shared" ca="1" si="17"/>
        <v>0</v>
      </c>
      <c r="R58">
        <f t="shared" ca="1" si="5"/>
        <v>11</v>
      </c>
      <c r="U58">
        <f t="shared" ca="1" si="6"/>
        <v>8</v>
      </c>
    </row>
    <row r="59" spans="1:21" x14ac:dyDescent="0.3">
      <c r="A59">
        <v>43</v>
      </c>
      <c r="B59" s="1">
        <f t="shared" ca="1" si="11"/>
        <v>12</v>
      </c>
      <c r="C59" s="6">
        <f t="shared" ca="1" si="12"/>
        <v>65</v>
      </c>
      <c r="D59" s="1">
        <f t="shared" ca="1" si="13"/>
        <v>8</v>
      </c>
      <c r="E59" s="6">
        <f t="shared" ca="1" si="14"/>
        <v>8</v>
      </c>
      <c r="F59" s="6">
        <f t="shared" ca="1" si="15"/>
        <v>372</v>
      </c>
      <c r="G59" s="6">
        <f t="shared" ca="1" si="16"/>
        <v>57</v>
      </c>
      <c r="H59">
        <f t="shared" ca="1" si="17"/>
        <v>0</v>
      </c>
      <c r="R59">
        <f t="shared" ca="1" si="5"/>
        <v>12</v>
      </c>
      <c r="U59">
        <f t="shared" ca="1" si="6"/>
        <v>8</v>
      </c>
    </row>
    <row r="60" spans="1:21" x14ac:dyDescent="0.3">
      <c r="A60">
        <v>44</v>
      </c>
      <c r="B60" s="1">
        <f t="shared" ca="1" si="11"/>
        <v>7</v>
      </c>
      <c r="C60" s="6">
        <f t="shared" ca="1" si="12"/>
        <v>64</v>
      </c>
      <c r="D60" s="1">
        <f t="shared" ca="1" si="13"/>
        <v>10</v>
      </c>
      <c r="E60" s="6">
        <f t="shared" ca="1" si="14"/>
        <v>10</v>
      </c>
      <c r="F60" s="6">
        <f t="shared" ca="1" si="15"/>
        <v>382</v>
      </c>
      <c r="G60" s="6">
        <f t="shared" ca="1" si="16"/>
        <v>54</v>
      </c>
      <c r="H60">
        <f t="shared" ca="1" si="17"/>
        <v>0</v>
      </c>
      <c r="R60">
        <f t="shared" ca="1" si="5"/>
        <v>7</v>
      </c>
      <c r="U60">
        <f t="shared" ca="1" si="6"/>
        <v>10</v>
      </c>
    </row>
    <row r="61" spans="1:21" x14ac:dyDescent="0.3">
      <c r="A61">
        <v>45</v>
      </c>
      <c r="B61" s="1">
        <f t="shared" ca="1" si="11"/>
        <v>7</v>
      </c>
      <c r="C61" s="6">
        <f t="shared" ca="1" si="12"/>
        <v>61</v>
      </c>
      <c r="D61" s="1">
        <f t="shared" ca="1" si="13"/>
        <v>8</v>
      </c>
      <c r="E61" s="6">
        <f t="shared" ca="1" si="14"/>
        <v>8</v>
      </c>
      <c r="F61" s="6">
        <f t="shared" ca="1" si="15"/>
        <v>390</v>
      </c>
      <c r="G61" s="6">
        <f t="shared" ca="1" si="16"/>
        <v>53</v>
      </c>
      <c r="H61">
        <f t="shared" ca="1" si="17"/>
        <v>0</v>
      </c>
      <c r="R61">
        <f t="shared" ca="1" si="5"/>
        <v>7</v>
      </c>
      <c r="U61">
        <f t="shared" ca="1" si="6"/>
        <v>8</v>
      </c>
    </row>
    <row r="62" spans="1:21" x14ac:dyDescent="0.3">
      <c r="A62">
        <v>46</v>
      </c>
      <c r="B62" s="1">
        <f t="shared" ca="1" si="11"/>
        <v>11</v>
      </c>
      <c r="C62" s="6">
        <f t="shared" ca="1" si="12"/>
        <v>64</v>
      </c>
      <c r="D62" s="1">
        <f t="shared" ca="1" si="13"/>
        <v>8</v>
      </c>
      <c r="E62" s="6">
        <f t="shared" ca="1" si="14"/>
        <v>8</v>
      </c>
      <c r="F62" s="6">
        <f t="shared" ca="1" si="15"/>
        <v>398</v>
      </c>
      <c r="G62" s="6">
        <f t="shared" ca="1" si="16"/>
        <v>56</v>
      </c>
      <c r="H62">
        <f t="shared" ca="1" si="17"/>
        <v>0</v>
      </c>
      <c r="R62">
        <f t="shared" ca="1" si="5"/>
        <v>11</v>
      </c>
      <c r="U62">
        <f t="shared" ca="1" si="6"/>
        <v>8</v>
      </c>
    </row>
    <row r="63" spans="1:21" x14ac:dyDescent="0.3">
      <c r="A63">
        <v>47</v>
      </c>
      <c r="B63" s="1">
        <f t="shared" ca="1" si="11"/>
        <v>11</v>
      </c>
      <c r="C63" s="6">
        <f t="shared" ca="1" si="12"/>
        <v>67</v>
      </c>
      <c r="D63" s="1">
        <f t="shared" ca="1" si="13"/>
        <v>10</v>
      </c>
      <c r="E63" s="6">
        <f t="shared" ca="1" si="14"/>
        <v>10</v>
      </c>
      <c r="F63" s="6">
        <f t="shared" ca="1" si="15"/>
        <v>408</v>
      </c>
      <c r="G63" s="6">
        <f t="shared" ca="1" si="16"/>
        <v>57</v>
      </c>
      <c r="H63">
        <f t="shared" ca="1" si="17"/>
        <v>0</v>
      </c>
      <c r="R63">
        <f t="shared" ca="1" si="5"/>
        <v>11</v>
      </c>
      <c r="U63">
        <f t="shared" ca="1" si="6"/>
        <v>10</v>
      </c>
    </row>
    <row r="64" spans="1:21" x14ac:dyDescent="0.3">
      <c r="A64">
        <v>48</v>
      </c>
      <c r="B64" s="1">
        <f t="shared" ca="1" si="11"/>
        <v>11</v>
      </c>
      <c r="C64" s="6">
        <f t="shared" ca="1" si="12"/>
        <v>68</v>
      </c>
      <c r="D64" s="1">
        <f t="shared" ca="1" si="13"/>
        <v>10</v>
      </c>
      <c r="E64" s="6">
        <f t="shared" ca="1" si="14"/>
        <v>10</v>
      </c>
      <c r="F64" s="6">
        <f t="shared" ca="1" si="15"/>
        <v>418</v>
      </c>
      <c r="G64" s="6">
        <f t="shared" ca="1" si="16"/>
        <v>58</v>
      </c>
      <c r="H64">
        <f t="shared" ca="1" si="17"/>
        <v>0</v>
      </c>
      <c r="R64">
        <f t="shared" ca="1" si="5"/>
        <v>11</v>
      </c>
      <c r="U64">
        <f t="shared" ca="1" si="6"/>
        <v>10</v>
      </c>
    </row>
    <row r="65" spans="1:21" x14ac:dyDescent="0.3">
      <c r="A65">
        <v>49</v>
      </c>
      <c r="B65" s="1">
        <f t="shared" ca="1" si="11"/>
        <v>7</v>
      </c>
      <c r="C65" s="6">
        <f t="shared" ca="1" si="12"/>
        <v>65</v>
      </c>
      <c r="D65" s="1">
        <f t="shared" ca="1" si="13"/>
        <v>8</v>
      </c>
      <c r="E65" s="6">
        <f t="shared" ca="1" si="14"/>
        <v>8</v>
      </c>
      <c r="F65" s="6">
        <f t="shared" ca="1" si="15"/>
        <v>426</v>
      </c>
      <c r="G65" s="6">
        <f t="shared" ca="1" si="16"/>
        <v>57</v>
      </c>
      <c r="H65">
        <f t="shared" ca="1" si="17"/>
        <v>0</v>
      </c>
      <c r="R65">
        <f t="shared" ca="1" si="5"/>
        <v>7</v>
      </c>
      <c r="U65">
        <f t="shared" ca="1" si="6"/>
        <v>8</v>
      </c>
    </row>
    <row r="66" spans="1:21" x14ac:dyDescent="0.3">
      <c r="A66">
        <v>50</v>
      </c>
      <c r="B66" s="1">
        <f t="shared" ca="1" si="11"/>
        <v>5</v>
      </c>
      <c r="C66" s="6">
        <f t="shared" ca="1" si="12"/>
        <v>62</v>
      </c>
      <c r="D66" s="1">
        <f t="shared" ca="1" si="13"/>
        <v>10</v>
      </c>
      <c r="E66" s="6">
        <f t="shared" ca="1" si="14"/>
        <v>10</v>
      </c>
      <c r="F66" s="6">
        <f t="shared" ca="1" si="15"/>
        <v>436</v>
      </c>
      <c r="G66" s="6">
        <f t="shared" ca="1" si="16"/>
        <v>52</v>
      </c>
      <c r="H66">
        <f t="shared" ca="1" si="17"/>
        <v>0</v>
      </c>
      <c r="R66">
        <f t="shared" ca="1" si="5"/>
        <v>5</v>
      </c>
      <c r="U66">
        <f t="shared" ca="1" si="6"/>
        <v>10</v>
      </c>
    </row>
    <row r="67" spans="1:21" x14ac:dyDescent="0.3">
      <c r="A67">
        <v>51</v>
      </c>
      <c r="B67" s="1">
        <f t="shared" ca="1" si="11"/>
        <v>12</v>
      </c>
      <c r="C67" s="6">
        <f t="shared" ca="1" si="12"/>
        <v>64</v>
      </c>
      <c r="D67" s="1">
        <f t="shared" ca="1" si="13"/>
        <v>8</v>
      </c>
      <c r="E67" s="6">
        <f t="shared" ca="1" si="14"/>
        <v>8</v>
      </c>
      <c r="F67" s="6">
        <f t="shared" ca="1" si="15"/>
        <v>444</v>
      </c>
      <c r="G67" s="6">
        <f t="shared" ca="1" si="16"/>
        <v>56</v>
      </c>
      <c r="H67">
        <f t="shared" ca="1" si="17"/>
        <v>0</v>
      </c>
      <c r="R67">
        <f t="shared" ca="1" si="5"/>
        <v>12</v>
      </c>
      <c r="U67">
        <f t="shared" ca="1" si="6"/>
        <v>8</v>
      </c>
    </row>
    <row r="68" spans="1:21" x14ac:dyDescent="0.3">
      <c r="A68">
        <v>52</v>
      </c>
      <c r="B68" s="1">
        <f t="shared" ca="1" si="11"/>
        <v>7</v>
      </c>
      <c r="C68" s="6">
        <f t="shared" ca="1" si="12"/>
        <v>63</v>
      </c>
      <c r="D68" s="1">
        <f t="shared" ca="1" si="13"/>
        <v>8</v>
      </c>
      <c r="E68" s="6">
        <f t="shared" ca="1" si="14"/>
        <v>8</v>
      </c>
      <c r="F68" s="6">
        <f t="shared" ca="1" si="15"/>
        <v>452</v>
      </c>
      <c r="G68" s="6">
        <f t="shared" ca="1" si="16"/>
        <v>55</v>
      </c>
      <c r="H68">
        <f t="shared" ca="1" si="17"/>
        <v>0</v>
      </c>
      <c r="R68">
        <f t="shared" ca="1" si="5"/>
        <v>7</v>
      </c>
      <c r="U68">
        <f t="shared" ca="1" si="6"/>
        <v>8</v>
      </c>
    </row>
    <row r="69" spans="1:21" x14ac:dyDescent="0.3">
      <c r="A69">
        <v>53</v>
      </c>
      <c r="B69" s="1">
        <f t="shared" ca="1" si="11"/>
        <v>11</v>
      </c>
      <c r="C69" s="6">
        <f t="shared" ca="1" si="12"/>
        <v>66</v>
      </c>
      <c r="D69" s="1">
        <f t="shared" ca="1" si="13"/>
        <v>8</v>
      </c>
      <c r="E69" s="6">
        <f t="shared" ca="1" si="14"/>
        <v>8</v>
      </c>
      <c r="F69" s="6">
        <f t="shared" ca="1" si="15"/>
        <v>460</v>
      </c>
      <c r="G69" s="6">
        <f t="shared" ca="1" si="16"/>
        <v>58</v>
      </c>
      <c r="H69">
        <f t="shared" ca="1" si="17"/>
        <v>0</v>
      </c>
      <c r="R69">
        <f t="shared" ca="1" si="5"/>
        <v>11</v>
      </c>
      <c r="U69">
        <f t="shared" ca="1" si="6"/>
        <v>8</v>
      </c>
    </row>
    <row r="70" spans="1:21" x14ac:dyDescent="0.3">
      <c r="A70">
        <v>54</v>
      </c>
      <c r="B70" s="1">
        <f t="shared" ca="1" si="11"/>
        <v>12</v>
      </c>
      <c r="C70" s="6">
        <f t="shared" ca="1" si="12"/>
        <v>70</v>
      </c>
      <c r="D70" s="1">
        <f t="shared" ca="1" si="13"/>
        <v>8</v>
      </c>
      <c r="E70" s="6">
        <f t="shared" ca="1" si="14"/>
        <v>8</v>
      </c>
      <c r="F70" s="6">
        <f t="shared" ca="1" si="15"/>
        <v>468</v>
      </c>
      <c r="G70" s="6">
        <f t="shared" ca="1" si="16"/>
        <v>62</v>
      </c>
      <c r="H70">
        <f t="shared" ca="1" si="17"/>
        <v>0</v>
      </c>
      <c r="R70">
        <f t="shared" ca="1" si="5"/>
        <v>12</v>
      </c>
      <c r="U70">
        <f t="shared" ca="1" si="6"/>
        <v>8</v>
      </c>
    </row>
    <row r="71" spans="1:21" x14ac:dyDescent="0.3">
      <c r="A71">
        <v>55</v>
      </c>
      <c r="B71" s="1">
        <f t="shared" ca="1" si="11"/>
        <v>11</v>
      </c>
      <c r="C71" s="6">
        <f t="shared" ca="1" si="12"/>
        <v>73</v>
      </c>
      <c r="D71" s="1">
        <f t="shared" ca="1" si="13"/>
        <v>8</v>
      </c>
      <c r="E71" s="6">
        <f t="shared" ca="1" si="14"/>
        <v>8</v>
      </c>
      <c r="F71" s="6">
        <f t="shared" ca="1" si="15"/>
        <v>476</v>
      </c>
      <c r="G71" s="6">
        <f t="shared" ca="1" si="16"/>
        <v>65</v>
      </c>
      <c r="H71">
        <f t="shared" ca="1" si="17"/>
        <v>0</v>
      </c>
      <c r="R71">
        <f t="shared" ca="1" si="5"/>
        <v>11</v>
      </c>
      <c r="U71">
        <f t="shared" ca="1" si="6"/>
        <v>8</v>
      </c>
    </row>
    <row r="72" spans="1:21" x14ac:dyDescent="0.3">
      <c r="A72">
        <v>56</v>
      </c>
      <c r="B72" s="1">
        <f t="shared" ca="1" si="11"/>
        <v>11</v>
      </c>
      <c r="C72" s="6">
        <f t="shared" ca="1" si="12"/>
        <v>76</v>
      </c>
      <c r="D72" s="1">
        <f t="shared" ca="1" si="13"/>
        <v>6</v>
      </c>
      <c r="E72" s="6">
        <f t="shared" ca="1" si="14"/>
        <v>6</v>
      </c>
      <c r="F72" s="6">
        <f t="shared" ca="1" si="15"/>
        <v>482</v>
      </c>
      <c r="G72" s="6">
        <f t="shared" ca="1" si="16"/>
        <v>70</v>
      </c>
      <c r="H72">
        <f t="shared" ca="1" si="17"/>
        <v>0</v>
      </c>
      <c r="R72">
        <f t="shared" ca="1" si="5"/>
        <v>11</v>
      </c>
      <c r="U72">
        <f t="shared" ca="1" si="6"/>
        <v>6</v>
      </c>
    </row>
    <row r="73" spans="1:21" x14ac:dyDescent="0.3">
      <c r="A73">
        <v>57</v>
      </c>
      <c r="B73" s="1">
        <f t="shared" ca="1" si="11"/>
        <v>11</v>
      </c>
      <c r="C73" s="6">
        <f t="shared" ca="1" si="12"/>
        <v>81</v>
      </c>
      <c r="D73" s="1">
        <f t="shared" ca="1" si="13"/>
        <v>8</v>
      </c>
      <c r="E73" s="6">
        <f t="shared" ca="1" si="14"/>
        <v>8</v>
      </c>
      <c r="F73" s="6">
        <f t="shared" ca="1" si="15"/>
        <v>490</v>
      </c>
      <c r="G73" s="6">
        <f t="shared" ca="1" si="16"/>
        <v>73</v>
      </c>
      <c r="H73">
        <f t="shared" ca="1" si="17"/>
        <v>0</v>
      </c>
      <c r="R73">
        <f t="shared" ca="1" si="5"/>
        <v>11</v>
      </c>
      <c r="U73">
        <f t="shared" ca="1" si="6"/>
        <v>8</v>
      </c>
    </row>
    <row r="74" spans="1:21" x14ac:dyDescent="0.3">
      <c r="A74">
        <v>58</v>
      </c>
      <c r="B74" s="1">
        <f t="shared" ca="1" si="11"/>
        <v>5</v>
      </c>
      <c r="C74" s="6">
        <f t="shared" ca="1" si="12"/>
        <v>78</v>
      </c>
      <c r="D74" s="1">
        <f t="shared" ca="1" si="13"/>
        <v>6</v>
      </c>
      <c r="E74" s="6">
        <f t="shared" ca="1" si="14"/>
        <v>6</v>
      </c>
      <c r="F74" s="6">
        <f t="shared" ca="1" si="15"/>
        <v>496</v>
      </c>
      <c r="G74" s="6">
        <f t="shared" ca="1" si="16"/>
        <v>72</v>
      </c>
      <c r="H74">
        <f t="shared" ca="1" si="17"/>
        <v>0</v>
      </c>
      <c r="R74">
        <f t="shared" ca="1" si="5"/>
        <v>5</v>
      </c>
      <c r="U74">
        <f t="shared" ca="1" si="6"/>
        <v>6</v>
      </c>
    </row>
    <row r="75" spans="1:21" x14ac:dyDescent="0.3">
      <c r="A75">
        <v>59</v>
      </c>
      <c r="B75" s="1">
        <f t="shared" ca="1" si="11"/>
        <v>7</v>
      </c>
      <c r="C75" s="6">
        <f t="shared" ca="1" si="12"/>
        <v>79</v>
      </c>
      <c r="D75" s="1">
        <f t="shared" ca="1" si="13"/>
        <v>8</v>
      </c>
      <c r="E75" s="6">
        <f t="shared" ca="1" si="14"/>
        <v>8</v>
      </c>
      <c r="F75" s="6">
        <f t="shared" ca="1" si="15"/>
        <v>504</v>
      </c>
      <c r="G75" s="6">
        <f t="shared" ca="1" si="16"/>
        <v>71</v>
      </c>
      <c r="H75">
        <f t="shared" ca="1" si="17"/>
        <v>0</v>
      </c>
      <c r="R75">
        <f t="shared" ca="1" si="5"/>
        <v>7</v>
      </c>
      <c r="U75">
        <f t="shared" ca="1" si="6"/>
        <v>8</v>
      </c>
    </row>
    <row r="76" spans="1:21" x14ac:dyDescent="0.3">
      <c r="A76">
        <v>60</v>
      </c>
      <c r="B76" s="1">
        <f t="shared" ca="1" si="11"/>
        <v>12</v>
      </c>
      <c r="C76" s="6">
        <f t="shared" ca="1" si="12"/>
        <v>83</v>
      </c>
      <c r="D76" s="1">
        <f t="shared" ca="1" si="13"/>
        <v>8</v>
      </c>
      <c r="E76" s="6">
        <f t="shared" ca="1" si="14"/>
        <v>8</v>
      </c>
      <c r="F76" s="6">
        <f t="shared" ca="1" si="15"/>
        <v>512</v>
      </c>
      <c r="G76" s="6">
        <f t="shared" ca="1" si="16"/>
        <v>75</v>
      </c>
      <c r="H76">
        <f t="shared" ca="1" si="17"/>
        <v>0</v>
      </c>
      <c r="R76">
        <f t="shared" ca="1" si="5"/>
        <v>12</v>
      </c>
      <c r="U76">
        <f t="shared" ca="1" si="6"/>
        <v>8</v>
      </c>
    </row>
    <row r="77" spans="1:21" x14ac:dyDescent="0.3">
      <c r="A77">
        <v>61</v>
      </c>
      <c r="B77" s="1">
        <f t="shared" ca="1" si="11"/>
        <v>12</v>
      </c>
      <c r="C77" s="6">
        <f t="shared" ca="1" si="12"/>
        <v>87</v>
      </c>
      <c r="D77" s="1">
        <f t="shared" ca="1" si="13"/>
        <v>8</v>
      </c>
      <c r="E77" s="6">
        <f t="shared" ca="1" si="14"/>
        <v>8</v>
      </c>
      <c r="F77" s="6">
        <f t="shared" ca="1" si="15"/>
        <v>520</v>
      </c>
      <c r="G77" s="6">
        <f t="shared" ca="1" si="16"/>
        <v>79</v>
      </c>
      <c r="H77">
        <f t="shared" ca="1" si="17"/>
        <v>0</v>
      </c>
      <c r="R77">
        <f t="shared" ca="1" si="5"/>
        <v>12</v>
      </c>
      <c r="U77">
        <f t="shared" ca="1" si="6"/>
        <v>8</v>
      </c>
    </row>
    <row r="78" spans="1:21" x14ac:dyDescent="0.3">
      <c r="A78">
        <v>62</v>
      </c>
      <c r="B78" s="1">
        <f t="shared" ca="1" si="11"/>
        <v>7</v>
      </c>
      <c r="C78" s="6">
        <f t="shared" ca="1" si="12"/>
        <v>86</v>
      </c>
      <c r="D78" s="1">
        <f t="shared" ca="1" si="13"/>
        <v>8</v>
      </c>
      <c r="E78" s="6">
        <f t="shared" ca="1" si="14"/>
        <v>8</v>
      </c>
      <c r="F78" s="6">
        <f t="shared" ca="1" si="15"/>
        <v>528</v>
      </c>
      <c r="G78" s="6">
        <f t="shared" ca="1" si="16"/>
        <v>78</v>
      </c>
      <c r="H78">
        <f t="shared" ca="1" si="17"/>
        <v>0</v>
      </c>
      <c r="R78">
        <f t="shared" ca="1" si="5"/>
        <v>7</v>
      </c>
      <c r="U78">
        <f t="shared" ca="1" si="6"/>
        <v>8</v>
      </c>
    </row>
    <row r="79" spans="1:21" x14ac:dyDescent="0.3">
      <c r="A79">
        <v>63</v>
      </c>
      <c r="B79" s="1">
        <f t="shared" ca="1" si="11"/>
        <v>7</v>
      </c>
      <c r="C79" s="6">
        <f t="shared" ca="1" si="12"/>
        <v>85</v>
      </c>
      <c r="D79" s="1">
        <f t="shared" ca="1" si="13"/>
        <v>8</v>
      </c>
      <c r="E79" s="6">
        <f t="shared" ca="1" si="14"/>
        <v>8</v>
      </c>
      <c r="F79" s="6">
        <f t="shared" ca="1" si="15"/>
        <v>536</v>
      </c>
      <c r="G79" s="6">
        <f t="shared" ca="1" si="16"/>
        <v>77</v>
      </c>
      <c r="H79">
        <f t="shared" ca="1" si="17"/>
        <v>0</v>
      </c>
      <c r="R79">
        <f t="shared" ca="1" si="5"/>
        <v>7</v>
      </c>
      <c r="U79">
        <f t="shared" ca="1" si="6"/>
        <v>8</v>
      </c>
    </row>
    <row r="80" spans="1:21" x14ac:dyDescent="0.3">
      <c r="A80">
        <v>64</v>
      </c>
      <c r="B80" s="1">
        <f t="shared" ca="1" si="11"/>
        <v>5</v>
      </c>
      <c r="C80" s="6">
        <f t="shared" ca="1" si="12"/>
        <v>82</v>
      </c>
      <c r="D80" s="1">
        <f t="shared" ca="1" si="13"/>
        <v>8</v>
      </c>
      <c r="E80" s="6">
        <f t="shared" ca="1" si="14"/>
        <v>8</v>
      </c>
      <c r="F80" s="6">
        <f t="shared" ca="1" si="15"/>
        <v>544</v>
      </c>
      <c r="G80" s="6">
        <f t="shared" ca="1" si="16"/>
        <v>74</v>
      </c>
      <c r="H80">
        <f t="shared" ca="1" si="17"/>
        <v>0</v>
      </c>
      <c r="R80">
        <f t="shared" ca="1" si="5"/>
        <v>5</v>
      </c>
      <c r="U80">
        <f t="shared" ca="1" si="6"/>
        <v>8</v>
      </c>
    </row>
    <row r="81" spans="1:21" x14ac:dyDescent="0.3">
      <c r="A81">
        <v>65</v>
      </c>
      <c r="B81" s="1">
        <f t="shared" ca="1" si="11"/>
        <v>5</v>
      </c>
      <c r="C81" s="6">
        <f t="shared" ca="1" si="12"/>
        <v>79</v>
      </c>
      <c r="D81" s="1">
        <f t="shared" ca="1" si="13"/>
        <v>8</v>
      </c>
      <c r="E81" s="6">
        <f t="shared" ca="1" si="14"/>
        <v>8</v>
      </c>
      <c r="F81" s="6">
        <f t="shared" ca="1" si="15"/>
        <v>552</v>
      </c>
      <c r="G81" s="6">
        <f t="shared" ca="1" si="16"/>
        <v>71</v>
      </c>
      <c r="H81">
        <f t="shared" ca="1" si="17"/>
        <v>0</v>
      </c>
      <c r="R81">
        <f t="shared" ca="1" si="5"/>
        <v>5</v>
      </c>
      <c r="U81">
        <f t="shared" ca="1" si="6"/>
        <v>8</v>
      </c>
    </row>
    <row r="82" spans="1:21" x14ac:dyDescent="0.3">
      <c r="A82">
        <v>66</v>
      </c>
      <c r="B82" s="1">
        <f t="shared" ca="1" si="11"/>
        <v>11</v>
      </c>
      <c r="C82" s="6">
        <f t="shared" ca="1" si="12"/>
        <v>82</v>
      </c>
      <c r="D82" s="1">
        <f t="shared" ca="1" si="13"/>
        <v>6</v>
      </c>
      <c r="E82" s="6">
        <f t="shared" ca="1" si="14"/>
        <v>6</v>
      </c>
      <c r="F82" s="6">
        <f t="shared" ca="1" si="15"/>
        <v>558</v>
      </c>
      <c r="G82" s="6">
        <f t="shared" ca="1" si="16"/>
        <v>76</v>
      </c>
      <c r="H82">
        <f t="shared" ca="1" si="17"/>
        <v>0</v>
      </c>
      <c r="R82">
        <f t="shared" ref="R82:R145" ca="1" si="18">VLOOKUP(RAND(),$Q$3:$R$6,2,TRUE)</f>
        <v>11</v>
      </c>
      <c r="U82">
        <f t="shared" ref="U82:U145" ca="1" si="19">VLOOKUP(RAND(),$T$3:$U$9,2,TRUE)</f>
        <v>6</v>
      </c>
    </row>
    <row r="83" spans="1:21" x14ac:dyDescent="0.3">
      <c r="A83">
        <v>67</v>
      </c>
      <c r="B83" s="1">
        <f t="shared" ca="1" si="11"/>
        <v>7</v>
      </c>
      <c r="C83" s="6">
        <f t="shared" ca="1" si="12"/>
        <v>83</v>
      </c>
      <c r="D83" s="1">
        <f t="shared" ca="1" si="13"/>
        <v>8</v>
      </c>
      <c r="E83" s="6">
        <f t="shared" ca="1" si="14"/>
        <v>8</v>
      </c>
      <c r="F83" s="6">
        <f t="shared" ca="1" si="15"/>
        <v>566</v>
      </c>
      <c r="G83" s="6">
        <f t="shared" ca="1" si="16"/>
        <v>75</v>
      </c>
      <c r="H83">
        <f t="shared" ca="1" si="17"/>
        <v>0</v>
      </c>
      <c r="R83">
        <f t="shared" ca="1" si="18"/>
        <v>7</v>
      </c>
      <c r="U83">
        <f t="shared" ca="1" si="19"/>
        <v>8</v>
      </c>
    </row>
    <row r="84" spans="1:21" x14ac:dyDescent="0.3">
      <c r="A84">
        <v>68</v>
      </c>
      <c r="B84" s="1">
        <f t="shared" ca="1" si="11"/>
        <v>5</v>
      </c>
      <c r="C84" s="6">
        <f t="shared" ca="1" si="12"/>
        <v>80</v>
      </c>
      <c r="D84" s="1">
        <f t="shared" ca="1" si="13"/>
        <v>15</v>
      </c>
      <c r="E84" s="6">
        <f t="shared" ca="1" si="14"/>
        <v>15</v>
      </c>
      <c r="F84" s="6">
        <f t="shared" ca="1" si="15"/>
        <v>581</v>
      </c>
      <c r="G84" s="6">
        <f t="shared" ca="1" si="16"/>
        <v>65</v>
      </c>
      <c r="H84">
        <f t="shared" ca="1" si="17"/>
        <v>0</v>
      </c>
      <c r="R84">
        <f t="shared" ca="1" si="18"/>
        <v>5</v>
      </c>
      <c r="U84">
        <f t="shared" ca="1" si="19"/>
        <v>15</v>
      </c>
    </row>
    <row r="85" spans="1:21" x14ac:dyDescent="0.3">
      <c r="A85">
        <v>69</v>
      </c>
      <c r="B85" s="1">
        <f t="shared" ca="1" si="11"/>
        <v>5</v>
      </c>
      <c r="C85" s="6">
        <f t="shared" ca="1" si="12"/>
        <v>70</v>
      </c>
      <c r="D85" s="1">
        <f t="shared" ca="1" si="13"/>
        <v>8</v>
      </c>
      <c r="E85" s="6">
        <f t="shared" ca="1" si="14"/>
        <v>8</v>
      </c>
      <c r="F85" s="6">
        <f t="shared" ca="1" si="15"/>
        <v>589</v>
      </c>
      <c r="G85" s="6">
        <f t="shared" ca="1" si="16"/>
        <v>62</v>
      </c>
      <c r="H85">
        <f t="shared" ca="1" si="17"/>
        <v>0</v>
      </c>
      <c r="R85">
        <f t="shared" ca="1" si="18"/>
        <v>5</v>
      </c>
      <c r="U85">
        <f t="shared" ca="1" si="19"/>
        <v>8</v>
      </c>
    </row>
    <row r="86" spans="1:21" x14ac:dyDescent="0.3">
      <c r="A86">
        <v>70</v>
      </c>
      <c r="B86" s="1">
        <f t="shared" ca="1" si="11"/>
        <v>11</v>
      </c>
      <c r="C86" s="6">
        <f t="shared" ca="1" si="12"/>
        <v>73</v>
      </c>
      <c r="D86" s="1">
        <f t="shared" ca="1" si="13"/>
        <v>10</v>
      </c>
      <c r="E86" s="6">
        <f t="shared" ca="1" si="14"/>
        <v>10</v>
      </c>
      <c r="F86" s="6">
        <f t="shared" ca="1" si="15"/>
        <v>599</v>
      </c>
      <c r="G86" s="6">
        <f t="shared" ca="1" si="16"/>
        <v>63</v>
      </c>
      <c r="H86">
        <f t="shared" ca="1" si="17"/>
        <v>0</v>
      </c>
      <c r="R86">
        <f t="shared" ca="1" si="18"/>
        <v>11</v>
      </c>
      <c r="U86">
        <f t="shared" ca="1" si="19"/>
        <v>10</v>
      </c>
    </row>
    <row r="87" spans="1:21" x14ac:dyDescent="0.3">
      <c r="A87">
        <v>71</v>
      </c>
      <c r="B87" s="1">
        <f t="shared" ca="1" si="11"/>
        <v>11</v>
      </c>
      <c r="C87" s="6">
        <f t="shared" ca="1" si="12"/>
        <v>74</v>
      </c>
      <c r="D87" s="1">
        <f t="shared" ca="1" si="13"/>
        <v>8</v>
      </c>
      <c r="E87" s="6">
        <f t="shared" ca="1" si="14"/>
        <v>8</v>
      </c>
      <c r="F87" s="6">
        <f t="shared" ca="1" si="15"/>
        <v>607</v>
      </c>
      <c r="G87" s="6">
        <f t="shared" ca="1" si="16"/>
        <v>66</v>
      </c>
      <c r="H87">
        <f t="shared" ca="1" si="17"/>
        <v>0</v>
      </c>
      <c r="R87">
        <f t="shared" ca="1" si="18"/>
        <v>11</v>
      </c>
      <c r="U87">
        <f t="shared" ca="1" si="19"/>
        <v>8</v>
      </c>
    </row>
    <row r="88" spans="1:21" x14ac:dyDescent="0.3">
      <c r="A88">
        <v>72</v>
      </c>
      <c r="B88" s="1">
        <f t="shared" ref="B88:B151" ca="1" si="20">R88</f>
        <v>5</v>
      </c>
      <c r="C88" s="6">
        <f t="shared" ref="C88:C151" ca="1" si="21">G87+B88</f>
        <v>71</v>
      </c>
      <c r="D88" s="1">
        <f t="shared" ref="D88:D151" ca="1" si="22">U88</f>
        <v>10</v>
      </c>
      <c r="E88" s="6">
        <f t="shared" ref="E88:E151" ca="1" si="23">MIN(C88,D88)</f>
        <v>10</v>
      </c>
      <c r="F88" s="6">
        <f t="shared" ref="F88:F151" ca="1" si="24">F87+E88</f>
        <v>617</v>
      </c>
      <c r="G88" s="6">
        <f t="shared" ref="G88:G151" ca="1" si="25">C88-E88</f>
        <v>61</v>
      </c>
      <c r="H88">
        <f t="shared" ref="H88:H151" ca="1" si="26">MAX(D88-C88,0)</f>
        <v>0</v>
      </c>
      <c r="R88">
        <f t="shared" ca="1" si="18"/>
        <v>5</v>
      </c>
      <c r="U88">
        <f t="shared" ca="1" si="19"/>
        <v>10</v>
      </c>
    </row>
    <row r="89" spans="1:21" x14ac:dyDescent="0.3">
      <c r="A89">
        <v>73</v>
      </c>
      <c r="B89" s="1">
        <f t="shared" ca="1" si="20"/>
        <v>11</v>
      </c>
      <c r="C89" s="6">
        <f t="shared" ca="1" si="21"/>
        <v>72</v>
      </c>
      <c r="D89" s="1">
        <f t="shared" ca="1" si="22"/>
        <v>15</v>
      </c>
      <c r="E89" s="6">
        <f t="shared" ca="1" si="23"/>
        <v>15</v>
      </c>
      <c r="F89" s="6">
        <f t="shared" ca="1" si="24"/>
        <v>632</v>
      </c>
      <c r="G89" s="6">
        <f t="shared" ca="1" si="25"/>
        <v>57</v>
      </c>
      <c r="H89">
        <f t="shared" ca="1" si="26"/>
        <v>0</v>
      </c>
      <c r="R89">
        <f t="shared" ca="1" si="18"/>
        <v>11</v>
      </c>
      <c r="U89">
        <f t="shared" ca="1" si="19"/>
        <v>15</v>
      </c>
    </row>
    <row r="90" spans="1:21" x14ac:dyDescent="0.3">
      <c r="A90">
        <v>74</v>
      </c>
      <c r="B90" s="1">
        <f t="shared" ca="1" si="20"/>
        <v>12</v>
      </c>
      <c r="C90" s="6">
        <f t="shared" ca="1" si="21"/>
        <v>69</v>
      </c>
      <c r="D90" s="1">
        <f t="shared" ca="1" si="22"/>
        <v>8</v>
      </c>
      <c r="E90" s="6">
        <f t="shared" ca="1" si="23"/>
        <v>8</v>
      </c>
      <c r="F90" s="6">
        <f t="shared" ca="1" si="24"/>
        <v>640</v>
      </c>
      <c r="G90" s="6">
        <f t="shared" ca="1" si="25"/>
        <v>61</v>
      </c>
      <c r="H90">
        <f t="shared" ca="1" si="26"/>
        <v>0</v>
      </c>
      <c r="R90">
        <f t="shared" ca="1" si="18"/>
        <v>12</v>
      </c>
      <c r="U90">
        <f t="shared" ca="1" si="19"/>
        <v>8</v>
      </c>
    </row>
    <row r="91" spans="1:21" x14ac:dyDescent="0.3">
      <c r="A91">
        <v>75</v>
      </c>
      <c r="B91" s="1">
        <f t="shared" ca="1" si="20"/>
        <v>12</v>
      </c>
      <c r="C91" s="6">
        <f t="shared" ca="1" si="21"/>
        <v>73</v>
      </c>
      <c r="D91" s="1">
        <f t="shared" ca="1" si="22"/>
        <v>8</v>
      </c>
      <c r="E91" s="6">
        <f t="shared" ca="1" si="23"/>
        <v>8</v>
      </c>
      <c r="F91" s="6">
        <f t="shared" ca="1" si="24"/>
        <v>648</v>
      </c>
      <c r="G91" s="6">
        <f t="shared" ca="1" si="25"/>
        <v>65</v>
      </c>
      <c r="H91">
        <f t="shared" ca="1" si="26"/>
        <v>0</v>
      </c>
      <c r="R91">
        <f t="shared" ca="1" si="18"/>
        <v>12</v>
      </c>
      <c r="U91">
        <f t="shared" ca="1" si="19"/>
        <v>8</v>
      </c>
    </row>
    <row r="92" spans="1:21" x14ac:dyDescent="0.3">
      <c r="A92">
        <v>76</v>
      </c>
      <c r="B92" s="1">
        <f t="shared" ca="1" si="20"/>
        <v>12</v>
      </c>
      <c r="C92" s="6">
        <f t="shared" ca="1" si="21"/>
        <v>77</v>
      </c>
      <c r="D92" s="1">
        <f t="shared" ca="1" si="22"/>
        <v>8</v>
      </c>
      <c r="E92" s="6">
        <f t="shared" ca="1" si="23"/>
        <v>8</v>
      </c>
      <c r="F92" s="6">
        <f t="shared" ca="1" si="24"/>
        <v>656</v>
      </c>
      <c r="G92" s="6">
        <f t="shared" ca="1" si="25"/>
        <v>69</v>
      </c>
      <c r="H92">
        <f t="shared" ca="1" si="26"/>
        <v>0</v>
      </c>
      <c r="R92">
        <f t="shared" ca="1" si="18"/>
        <v>12</v>
      </c>
      <c r="U92">
        <f t="shared" ca="1" si="19"/>
        <v>8</v>
      </c>
    </row>
    <row r="93" spans="1:21" x14ac:dyDescent="0.3">
      <c r="A93">
        <v>77</v>
      </c>
      <c r="B93" s="1">
        <f t="shared" ca="1" si="20"/>
        <v>11</v>
      </c>
      <c r="C93" s="6">
        <f t="shared" ca="1" si="21"/>
        <v>80</v>
      </c>
      <c r="D93" s="1">
        <f t="shared" ca="1" si="22"/>
        <v>15</v>
      </c>
      <c r="E93" s="6">
        <f t="shared" ca="1" si="23"/>
        <v>15</v>
      </c>
      <c r="F93" s="6">
        <f t="shared" ca="1" si="24"/>
        <v>671</v>
      </c>
      <c r="G93" s="6">
        <f t="shared" ca="1" si="25"/>
        <v>65</v>
      </c>
      <c r="H93">
        <f t="shared" ca="1" si="26"/>
        <v>0</v>
      </c>
      <c r="R93">
        <f t="shared" ca="1" si="18"/>
        <v>11</v>
      </c>
      <c r="U93">
        <f t="shared" ca="1" si="19"/>
        <v>15</v>
      </c>
    </row>
    <row r="94" spans="1:21" x14ac:dyDescent="0.3">
      <c r="A94">
        <v>78</v>
      </c>
      <c r="B94" s="1">
        <f t="shared" ca="1" si="20"/>
        <v>11</v>
      </c>
      <c r="C94" s="6">
        <f t="shared" ca="1" si="21"/>
        <v>76</v>
      </c>
      <c r="D94" s="1">
        <f t="shared" ca="1" si="22"/>
        <v>10</v>
      </c>
      <c r="E94" s="6">
        <f t="shared" ca="1" si="23"/>
        <v>10</v>
      </c>
      <c r="F94" s="6">
        <f t="shared" ca="1" si="24"/>
        <v>681</v>
      </c>
      <c r="G94" s="6">
        <f t="shared" ca="1" si="25"/>
        <v>66</v>
      </c>
      <c r="H94">
        <f t="shared" ca="1" si="26"/>
        <v>0</v>
      </c>
      <c r="R94">
        <f t="shared" ca="1" si="18"/>
        <v>11</v>
      </c>
      <c r="U94">
        <f t="shared" ca="1" si="19"/>
        <v>10</v>
      </c>
    </row>
    <row r="95" spans="1:21" x14ac:dyDescent="0.3">
      <c r="A95">
        <v>79</v>
      </c>
      <c r="B95" s="1">
        <f t="shared" ca="1" si="20"/>
        <v>12</v>
      </c>
      <c r="C95" s="6">
        <f t="shared" ca="1" si="21"/>
        <v>78</v>
      </c>
      <c r="D95" s="1">
        <f t="shared" ca="1" si="22"/>
        <v>10</v>
      </c>
      <c r="E95" s="6">
        <f t="shared" ca="1" si="23"/>
        <v>10</v>
      </c>
      <c r="F95" s="6">
        <f t="shared" ca="1" si="24"/>
        <v>691</v>
      </c>
      <c r="G95" s="6">
        <f t="shared" ca="1" si="25"/>
        <v>68</v>
      </c>
      <c r="H95">
        <f t="shared" ca="1" si="26"/>
        <v>0</v>
      </c>
      <c r="R95">
        <f t="shared" ca="1" si="18"/>
        <v>12</v>
      </c>
      <c r="U95">
        <f t="shared" ca="1" si="19"/>
        <v>10</v>
      </c>
    </row>
    <row r="96" spans="1:21" x14ac:dyDescent="0.3">
      <c r="A96">
        <v>80</v>
      </c>
      <c r="B96" s="1">
        <f t="shared" ca="1" si="20"/>
        <v>11</v>
      </c>
      <c r="C96" s="6">
        <f t="shared" ca="1" si="21"/>
        <v>79</v>
      </c>
      <c r="D96" s="1">
        <f t="shared" ca="1" si="22"/>
        <v>10</v>
      </c>
      <c r="E96" s="6">
        <f t="shared" ca="1" si="23"/>
        <v>10</v>
      </c>
      <c r="F96" s="6">
        <f t="shared" ca="1" si="24"/>
        <v>701</v>
      </c>
      <c r="G96" s="6">
        <f t="shared" ca="1" si="25"/>
        <v>69</v>
      </c>
      <c r="H96">
        <f t="shared" ca="1" si="26"/>
        <v>0</v>
      </c>
      <c r="R96">
        <f t="shared" ca="1" si="18"/>
        <v>11</v>
      </c>
      <c r="U96">
        <f t="shared" ca="1" si="19"/>
        <v>10</v>
      </c>
    </row>
    <row r="97" spans="1:21" x14ac:dyDescent="0.3">
      <c r="A97">
        <v>81</v>
      </c>
      <c r="B97" s="1">
        <f t="shared" ca="1" si="20"/>
        <v>11</v>
      </c>
      <c r="C97" s="6">
        <f t="shared" ca="1" si="21"/>
        <v>80</v>
      </c>
      <c r="D97" s="1">
        <f t="shared" ca="1" si="22"/>
        <v>10</v>
      </c>
      <c r="E97" s="6">
        <f t="shared" ca="1" si="23"/>
        <v>10</v>
      </c>
      <c r="F97" s="6">
        <f t="shared" ca="1" si="24"/>
        <v>711</v>
      </c>
      <c r="G97" s="6">
        <f t="shared" ca="1" si="25"/>
        <v>70</v>
      </c>
      <c r="H97">
        <f t="shared" ca="1" si="26"/>
        <v>0</v>
      </c>
      <c r="R97">
        <f t="shared" ca="1" si="18"/>
        <v>11</v>
      </c>
      <c r="U97">
        <f t="shared" ca="1" si="19"/>
        <v>10</v>
      </c>
    </row>
    <row r="98" spans="1:21" x14ac:dyDescent="0.3">
      <c r="A98">
        <v>82</v>
      </c>
      <c r="B98" s="1">
        <f t="shared" ca="1" si="20"/>
        <v>11</v>
      </c>
      <c r="C98" s="6">
        <f t="shared" ca="1" si="21"/>
        <v>81</v>
      </c>
      <c r="D98" s="1">
        <f t="shared" ca="1" si="22"/>
        <v>10</v>
      </c>
      <c r="E98" s="6">
        <f t="shared" ca="1" si="23"/>
        <v>10</v>
      </c>
      <c r="F98" s="6">
        <f t="shared" ca="1" si="24"/>
        <v>721</v>
      </c>
      <c r="G98" s="6">
        <f t="shared" ca="1" si="25"/>
        <v>71</v>
      </c>
      <c r="H98">
        <f t="shared" ca="1" si="26"/>
        <v>0</v>
      </c>
      <c r="R98">
        <f t="shared" ca="1" si="18"/>
        <v>11</v>
      </c>
      <c r="U98">
        <f t="shared" ca="1" si="19"/>
        <v>10</v>
      </c>
    </row>
    <row r="99" spans="1:21" x14ac:dyDescent="0.3">
      <c r="A99">
        <v>83</v>
      </c>
      <c r="B99" s="1">
        <f t="shared" ca="1" si="20"/>
        <v>7</v>
      </c>
      <c r="C99" s="6">
        <f t="shared" ca="1" si="21"/>
        <v>78</v>
      </c>
      <c r="D99" s="1">
        <f t="shared" ca="1" si="22"/>
        <v>8</v>
      </c>
      <c r="E99" s="6">
        <f t="shared" ca="1" si="23"/>
        <v>8</v>
      </c>
      <c r="F99" s="6">
        <f t="shared" ca="1" si="24"/>
        <v>729</v>
      </c>
      <c r="G99" s="6">
        <f t="shared" ca="1" si="25"/>
        <v>70</v>
      </c>
      <c r="H99">
        <f t="shared" ca="1" si="26"/>
        <v>0</v>
      </c>
      <c r="R99">
        <f t="shared" ca="1" si="18"/>
        <v>7</v>
      </c>
      <c r="U99">
        <f t="shared" ca="1" si="19"/>
        <v>8</v>
      </c>
    </row>
    <row r="100" spans="1:21" x14ac:dyDescent="0.3">
      <c r="A100">
        <v>84</v>
      </c>
      <c r="B100" s="1">
        <f t="shared" ca="1" si="20"/>
        <v>12</v>
      </c>
      <c r="C100" s="6">
        <f t="shared" ca="1" si="21"/>
        <v>82</v>
      </c>
      <c r="D100" s="1">
        <f t="shared" ca="1" si="22"/>
        <v>10</v>
      </c>
      <c r="E100" s="6">
        <f t="shared" ca="1" si="23"/>
        <v>10</v>
      </c>
      <c r="F100" s="6">
        <f t="shared" ca="1" si="24"/>
        <v>739</v>
      </c>
      <c r="G100" s="6">
        <f t="shared" ca="1" si="25"/>
        <v>72</v>
      </c>
      <c r="H100">
        <f t="shared" ca="1" si="26"/>
        <v>0</v>
      </c>
      <c r="R100">
        <f t="shared" ca="1" si="18"/>
        <v>12</v>
      </c>
      <c r="U100">
        <f t="shared" ca="1" si="19"/>
        <v>10</v>
      </c>
    </row>
    <row r="101" spans="1:21" x14ac:dyDescent="0.3">
      <c r="A101">
        <v>85</v>
      </c>
      <c r="B101" s="1">
        <f t="shared" ca="1" si="20"/>
        <v>12</v>
      </c>
      <c r="C101" s="6">
        <f t="shared" ca="1" si="21"/>
        <v>84</v>
      </c>
      <c r="D101" s="1">
        <f t="shared" ca="1" si="22"/>
        <v>8</v>
      </c>
      <c r="E101" s="6">
        <f t="shared" ca="1" si="23"/>
        <v>8</v>
      </c>
      <c r="F101" s="6">
        <f t="shared" ca="1" si="24"/>
        <v>747</v>
      </c>
      <c r="G101" s="6">
        <f t="shared" ca="1" si="25"/>
        <v>76</v>
      </c>
      <c r="H101">
        <f t="shared" ca="1" si="26"/>
        <v>0</v>
      </c>
      <c r="R101">
        <f t="shared" ca="1" si="18"/>
        <v>12</v>
      </c>
      <c r="U101">
        <f t="shared" ca="1" si="19"/>
        <v>8</v>
      </c>
    </row>
    <row r="102" spans="1:21" x14ac:dyDescent="0.3">
      <c r="A102">
        <v>86</v>
      </c>
      <c r="B102" s="1">
        <f t="shared" ca="1" si="20"/>
        <v>12</v>
      </c>
      <c r="C102" s="6">
        <f t="shared" ca="1" si="21"/>
        <v>88</v>
      </c>
      <c r="D102" s="1">
        <f t="shared" ca="1" si="22"/>
        <v>15</v>
      </c>
      <c r="E102" s="6">
        <f t="shared" ca="1" si="23"/>
        <v>15</v>
      </c>
      <c r="F102" s="6">
        <f t="shared" ca="1" si="24"/>
        <v>762</v>
      </c>
      <c r="G102" s="6">
        <f t="shared" ca="1" si="25"/>
        <v>73</v>
      </c>
      <c r="H102">
        <f t="shared" ca="1" si="26"/>
        <v>0</v>
      </c>
      <c r="R102">
        <f t="shared" ca="1" si="18"/>
        <v>12</v>
      </c>
      <c r="U102">
        <f t="shared" ca="1" si="19"/>
        <v>15</v>
      </c>
    </row>
    <row r="103" spans="1:21" x14ac:dyDescent="0.3">
      <c r="A103">
        <v>87</v>
      </c>
      <c r="B103" s="1">
        <f t="shared" ca="1" si="20"/>
        <v>11</v>
      </c>
      <c r="C103" s="6">
        <f t="shared" ca="1" si="21"/>
        <v>84</v>
      </c>
      <c r="D103" s="1">
        <f t="shared" ca="1" si="22"/>
        <v>10</v>
      </c>
      <c r="E103" s="6">
        <f t="shared" ca="1" si="23"/>
        <v>10</v>
      </c>
      <c r="F103" s="6">
        <f t="shared" ca="1" si="24"/>
        <v>772</v>
      </c>
      <c r="G103" s="6">
        <f t="shared" ca="1" si="25"/>
        <v>74</v>
      </c>
      <c r="H103">
        <f t="shared" ca="1" si="26"/>
        <v>0</v>
      </c>
      <c r="R103">
        <f t="shared" ca="1" si="18"/>
        <v>11</v>
      </c>
      <c r="U103">
        <f t="shared" ca="1" si="19"/>
        <v>10</v>
      </c>
    </row>
    <row r="104" spans="1:21" x14ac:dyDescent="0.3">
      <c r="A104">
        <v>88</v>
      </c>
      <c r="B104" s="1">
        <f t="shared" ca="1" si="20"/>
        <v>11</v>
      </c>
      <c r="C104" s="6">
        <f t="shared" ca="1" si="21"/>
        <v>85</v>
      </c>
      <c r="D104" s="1">
        <f t="shared" ca="1" si="22"/>
        <v>15</v>
      </c>
      <c r="E104" s="6">
        <f t="shared" ca="1" si="23"/>
        <v>15</v>
      </c>
      <c r="F104" s="6">
        <f t="shared" ca="1" si="24"/>
        <v>787</v>
      </c>
      <c r="G104" s="6">
        <f t="shared" ca="1" si="25"/>
        <v>70</v>
      </c>
      <c r="H104">
        <f t="shared" ca="1" si="26"/>
        <v>0</v>
      </c>
      <c r="R104">
        <f t="shared" ca="1" si="18"/>
        <v>11</v>
      </c>
      <c r="U104">
        <f t="shared" ca="1" si="19"/>
        <v>15</v>
      </c>
    </row>
    <row r="105" spans="1:21" x14ac:dyDescent="0.3">
      <c r="A105">
        <v>89</v>
      </c>
      <c r="B105" s="1">
        <f t="shared" ca="1" si="20"/>
        <v>5</v>
      </c>
      <c r="C105" s="6">
        <f t="shared" ca="1" si="21"/>
        <v>75</v>
      </c>
      <c r="D105" s="1">
        <f t="shared" ca="1" si="22"/>
        <v>6</v>
      </c>
      <c r="E105" s="6">
        <f t="shared" ca="1" si="23"/>
        <v>6</v>
      </c>
      <c r="F105" s="6">
        <f t="shared" ca="1" si="24"/>
        <v>793</v>
      </c>
      <c r="G105" s="6">
        <f t="shared" ca="1" si="25"/>
        <v>69</v>
      </c>
      <c r="H105">
        <f t="shared" ca="1" si="26"/>
        <v>0</v>
      </c>
      <c r="R105">
        <f t="shared" ca="1" si="18"/>
        <v>5</v>
      </c>
      <c r="U105">
        <f t="shared" ca="1" si="19"/>
        <v>6</v>
      </c>
    </row>
    <row r="106" spans="1:21" x14ac:dyDescent="0.3">
      <c r="A106">
        <v>90</v>
      </c>
      <c r="B106" s="1">
        <f t="shared" ca="1" si="20"/>
        <v>12</v>
      </c>
      <c r="C106" s="6">
        <f t="shared" ca="1" si="21"/>
        <v>81</v>
      </c>
      <c r="D106" s="1">
        <f t="shared" ca="1" si="22"/>
        <v>8</v>
      </c>
      <c r="E106" s="6">
        <f t="shared" ca="1" si="23"/>
        <v>8</v>
      </c>
      <c r="F106" s="6">
        <f t="shared" ca="1" si="24"/>
        <v>801</v>
      </c>
      <c r="G106" s="6">
        <f t="shared" ca="1" si="25"/>
        <v>73</v>
      </c>
      <c r="H106">
        <f t="shared" ca="1" si="26"/>
        <v>0</v>
      </c>
      <c r="R106">
        <f t="shared" ca="1" si="18"/>
        <v>12</v>
      </c>
      <c r="U106">
        <f t="shared" ca="1" si="19"/>
        <v>8</v>
      </c>
    </row>
    <row r="107" spans="1:21" x14ac:dyDescent="0.3">
      <c r="A107">
        <v>91</v>
      </c>
      <c r="B107" s="1">
        <f t="shared" ca="1" si="20"/>
        <v>12</v>
      </c>
      <c r="C107" s="6">
        <f t="shared" ca="1" si="21"/>
        <v>85</v>
      </c>
      <c r="D107" s="1">
        <f t="shared" ca="1" si="22"/>
        <v>6</v>
      </c>
      <c r="E107" s="6">
        <f t="shared" ca="1" si="23"/>
        <v>6</v>
      </c>
      <c r="F107" s="6">
        <f t="shared" ca="1" si="24"/>
        <v>807</v>
      </c>
      <c r="G107" s="6">
        <f t="shared" ca="1" si="25"/>
        <v>79</v>
      </c>
      <c r="H107">
        <f t="shared" ca="1" si="26"/>
        <v>0</v>
      </c>
      <c r="R107">
        <f t="shared" ca="1" si="18"/>
        <v>12</v>
      </c>
      <c r="U107">
        <f t="shared" ca="1" si="19"/>
        <v>6</v>
      </c>
    </row>
    <row r="108" spans="1:21" x14ac:dyDescent="0.3">
      <c r="A108">
        <v>92</v>
      </c>
      <c r="B108" s="1">
        <f t="shared" ca="1" si="20"/>
        <v>11</v>
      </c>
      <c r="C108" s="6">
        <f t="shared" ca="1" si="21"/>
        <v>90</v>
      </c>
      <c r="D108" s="1">
        <f t="shared" ca="1" si="22"/>
        <v>6</v>
      </c>
      <c r="E108" s="6">
        <f t="shared" ca="1" si="23"/>
        <v>6</v>
      </c>
      <c r="F108" s="6">
        <f t="shared" ca="1" si="24"/>
        <v>813</v>
      </c>
      <c r="G108" s="6">
        <f t="shared" ca="1" si="25"/>
        <v>84</v>
      </c>
      <c r="H108">
        <f t="shared" ca="1" si="26"/>
        <v>0</v>
      </c>
      <c r="R108">
        <f t="shared" ca="1" si="18"/>
        <v>11</v>
      </c>
      <c r="U108">
        <f t="shared" ca="1" si="19"/>
        <v>6</v>
      </c>
    </row>
    <row r="109" spans="1:21" x14ac:dyDescent="0.3">
      <c r="A109">
        <v>93</v>
      </c>
      <c r="B109" s="1">
        <f t="shared" ca="1" si="20"/>
        <v>7</v>
      </c>
      <c r="C109" s="6">
        <f t="shared" ca="1" si="21"/>
        <v>91</v>
      </c>
      <c r="D109" s="1">
        <f t="shared" ca="1" si="22"/>
        <v>8</v>
      </c>
      <c r="E109" s="6">
        <f t="shared" ca="1" si="23"/>
        <v>8</v>
      </c>
      <c r="F109" s="6">
        <f t="shared" ca="1" si="24"/>
        <v>821</v>
      </c>
      <c r="G109" s="6">
        <f t="shared" ca="1" si="25"/>
        <v>83</v>
      </c>
      <c r="H109">
        <f t="shared" ca="1" si="26"/>
        <v>0</v>
      </c>
      <c r="R109">
        <f t="shared" ca="1" si="18"/>
        <v>7</v>
      </c>
      <c r="U109">
        <f t="shared" ca="1" si="19"/>
        <v>8</v>
      </c>
    </row>
    <row r="110" spans="1:21" x14ac:dyDescent="0.3">
      <c r="A110">
        <v>94</v>
      </c>
      <c r="B110" s="1">
        <f t="shared" ca="1" si="20"/>
        <v>12</v>
      </c>
      <c r="C110" s="6">
        <f t="shared" ca="1" si="21"/>
        <v>95</v>
      </c>
      <c r="D110" s="1">
        <f t="shared" ca="1" si="22"/>
        <v>6</v>
      </c>
      <c r="E110" s="6">
        <f t="shared" ca="1" si="23"/>
        <v>6</v>
      </c>
      <c r="F110" s="6">
        <f t="shared" ca="1" si="24"/>
        <v>827</v>
      </c>
      <c r="G110" s="6">
        <f t="shared" ca="1" si="25"/>
        <v>89</v>
      </c>
      <c r="H110">
        <f t="shared" ca="1" si="26"/>
        <v>0</v>
      </c>
      <c r="R110">
        <f t="shared" ca="1" si="18"/>
        <v>12</v>
      </c>
      <c r="U110">
        <f t="shared" ca="1" si="19"/>
        <v>6</v>
      </c>
    </row>
    <row r="111" spans="1:21" x14ac:dyDescent="0.3">
      <c r="A111">
        <v>95</v>
      </c>
      <c r="B111" s="1">
        <f t="shared" ca="1" si="20"/>
        <v>11</v>
      </c>
      <c r="C111" s="6">
        <f t="shared" ca="1" si="21"/>
        <v>100</v>
      </c>
      <c r="D111" s="1">
        <f t="shared" ca="1" si="22"/>
        <v>8</v>
      </c>
      <c r="E111" s="6">
        <f t="shared" ca="1" si="23"/>
        <v>8</v>
      </c>
      <c r="F111" s="6">
        <f t="shared" ca="1" si="24"/>
        <v>835</v>
      </c>
      <c r="G111" s="6">
        <f t="shared" ca="1" si="25"/>
        <v>92</v>
      </c>
      <c r="H111">
        <f t="shared" ca="1" si="26"/>
        <v>0</v>
      </c>
      <c r="R111">
        <f t="shared" ca="1" si="18"/>
        <v>11</v>
      </c>
      <c r="U111">
        <f t="shared" ca="1" si="19"/>
        <v>8</v>
      </c>
    </row>
    <row r="112" spans="1:21" x14ac:dyDescent="0.3">
      <c r="A112">
        <v>96</v>
      </c>
      <c r="B112" s="1">
        <f t="shared" ca="1" si="20"/>
        <v>11</v>
      </c>
      <c r="C112" s="6">
        <f t="shared" ca="1" si="21"/>
        <v>103</v>
      </c>
      <c r="D112" s="1">
        <f t="shared" ca="1" si="22"/>
        <v>8</v>
      </c>
      <c r="E112" s="6">
        <f t="shared" ca="1" si="23"/>
        <v>8</v>
      </c>
      <c r="F112" s="6">
        <f t="shared" ca="1" si="24"/>
        <v>843</v>
      </c>
      <c r="G112" s="6">
        <f t="shared" ca="1" si="25"/>
        <v>95</v>
      </c>
      <c r="H112">
        <f t="shared" ca="1" si="26"/>
        <v>0</v>
      </c>
      <c r="R112">
        <f t="shared" ca="1" si="18"/>
        <v>11</v>
      </c>
      <c r="U112">
        <f t="shared" ca="1" si="19"/>
        <v>8</v>
      </c>
    </row>
    <row r="113" spans="1:21" x14ac:dyDescent="0.3">
      <c r="A113">
        <v>97</v>
      </c>
      <c r="B113" s="1">
        <f t="shared" ca="1" si="20"/>
        <v>11</v>
      </c>
      <c r="C113" s="6">
        <f t="shared" ca="1" si="21"/>
        <v>106</v>
      </c>
      <c r="D113" s="1">
        <f t="shared" ca="1" si="22"/>
        <v>8</v>
      </c>
      <c r="E113" s="6">
        <f t="shared" ca="1" si="23"/>
        <v>8</v>
      </c>
      <c r="F113" s="6">
        <f t="shared" ca="1" si="24"/>
        <v>851</v>
      </c>
      <c r="G113" s="6">
        <f t="shared" ca="1" si="25"/>
        <v>98</v>
      </c>
      <c r="H113">
        <f t="shared" ca="1" si="26"/>
        <v>0</v>
      </c>
      <c r="R113">
        <f t="shared" ca="1" si="18"/>
        <v>11</v>
      </c>
      <c r="U113">
        <f t="shared" ca="1" si="19"/>
        <v>8</v>
      </c>
    </row>
    <row r="114" spans="1:21" x14ac:dyDescent="0.3">
      <c r="A114">
        <v>98</v>
      </c>
      <c r="B114" s="1">
        <f t="shared" ca="1" si="20"/>
        <v>11</v>
      </c>
      <c r="C114" s="6">
        <f t="shared" ca="1" si="21"/>
        <v>109</v>
      </c>
      <c r="D114" s="1">
        <f t="shared" ca="1" si="22"/>
        <v>6</v>
      </c>
      <c r="E114" s="6">
        <f t="shared" ca="1" si="23"/>
        <v>6</v>
      </c>
      <c r="F114" s="6">
        <f t="shared" ca="1" si="24"/>
        <v>857</v>
      </c>
      <c r="G114" s="6">
        <f t="shared" ca="1" si="25"/>
        <v>103</v>
      </c>
      <c r="H114">
        <f t="shared" ca="1" si="26"/>
        <v>0</v>
      </c>
      <c r="R114">
        <f t="shared" ca="1" si="18"/>
        <v>11</v>
      </c>
      <c r="U114">
        <f t="shared" ca="1" si="19"/>
        <v>6</v>
      </c>
    </row>
    <row r="115" spans="1:21" x14ac:dyDescent="0.3">
      <c r="A115">
        <v>99</v>
      </c>
      <c r="B115" s="1">
        <f t="shared" ca="1" si="20"/>
        <v>12</v>
      </c>
      <c r="C115" s="6">
        <f t="shared" ca="1" si="21"/>
        <v>115</v>
      </c>
      <c r="D115" s="1">
        <f t="shared" ca="1" si="22"/>
        <v>6</v>
      </c>
      <c r="E115" s="6">
        <f t="shared" ca="1" si="23"/>
        <v>6</v>
      </c>
      <c r="F115" s="6">
        <f t="shared" ca="1" si="24"/>
        <v>863</v>
      </c>
      <c r="G115" s="6">
        <f t="shared" ca="1" si="25"/>
        <v>109</v>
      </c>
      <c r="H115">
        <f t="shared" ca="1" si="26"/>
        <v>0</v>
      </c>
      <c r="R115">
        <f t="shared" ca="1" si="18"/>
        <v>12</v>
      </c>
      <c r="U115">
        <f t="shared" ca="1" si="19"/>
        <v>6</v>
      </c>
    </row>
    <row r="116" spans="1:21" x14ac:dyDescent="0.3">
      <c r="A116">
        <v>100</v>
      </c>
      <c r="B116" s="1">
        <f t="shared" ca="1" si="20"/>
        <v>11</v>
      </c>
      <c r="C116" s="6">
        <f t="shared" ca="1" si="21"/>
        <v>120</v>
      </c>
      <c r="D116" s="1">
        <f t="shared" ca="1" si="22"/>
        <v>8</v>
      </c>
      <c r="E116" s="6">
        <f t="shared" ca="1" si="23"/>
        <v>8</v>
      </c>
      <c r="F116" s="6">
        <f t="shared" ca="1" si="24"/>
        <v>871</v>
      </c>
      <c r="G116" s="6">
        <f t="shared" ca="1" si="25"/>
        <v>112</v>
      </c>
      <c r="H116">
        <f t="shared" ca="1" si="26"/>
        <v>0</v>
      </c>
      <c r="R116">
        <f t="shared" ca="1" si="18"/>
        <v>11</v>
      </c>
      <c r="U116">
        <f t="shared" ca="1" si="19"/>
        <v>8</v>
      </c>
    </row>
    <row r="117" spans="1:21" x14ac:dyDescent="0.3">
      <c r="A117">
        <v>101</v>
      </c>
      <c r="B117" s="1">
        <f t="shared" ca="1" si="20"/>
        <v>11</v>
      </c>
      <c r="C117" s="6">
        <f t="shared" ca="1" si="21"/>
        <v>123</v>
      </c>
      <c r="D117" s="1">
        <f t="shared" ca="1" si="22"/>
        <v>8</v>
      </c>
      <c r="E117" s="6">
        <f t="shared" ca="1" si="23"/>
        <v>8</v>
      </c>
      <c r="F117" s="6">
        <f t="shared" ca="1" si="24"/>
        <v>879</v>
      </c>
      <c r="G117" s="6">
        <f t="shared" ca="1" si="25"/>
        <v>115</v>
      </c>
      <c r="H117">
        <f t="shared" ca="1" si="26"/>
        <v>0</v>
      </c>
      <c r="R117">
        <f t="shared" ca="1" si="18"/>
        <v>11</v>
      </c>
      <c r="U117">
        <f t="shared" ca="1" si="19"/>
        <v>8</v>
      </c>
    </row>
    <row r="118" spans="1:21" x14ac:dyDescent="0.3">
      <c r="A118">
        <v>102</v>
      </c>
      <c r="B118" s="1">
        <f t="shared" ca="1" si="20"/>
        <v>11</v>
      </c>
      <c r="C118" s="6">
        <f t="shared" ca="1" si="21"/>
        <v>126</v>
      </c>
      <c r="D118" s="1">
        <f t="shared" ca="1" si="22"/>
        <v>8</v>
      </c>
      <c r="E118" s="6">
        <f t="shared" ca="1" si="23"/>
        <v>8</v>
      </c>
      <c r="F118" s="6">
        <f t="shared" ca="1" si="24"/>
        <v>887</v>
      </c>
      <c r="G118" s="6">
        <f t="shared" ca="1" si="25"/>
        <v>118</v>
      </c>
      <c r="H118">
        <f t="shared" ca="1" si="26"/>
        <v>0</v>
      </c>
      <c r="R118">
        <f t="shared" ca="1" si="18"/>
        <v>11</v>
      </c>
      <c r="U118">
        <f t="shared" ca="1" si="19"/>
        <v>8</v>
      </c>
    </row>
    <row r="119" spans="1:21" x14ac:dyDescent="0.3">
      <c r="A119">
        <v>103</v>
      </c>
      <c r="B119" s="1">
        <f t="shared" ca="1" si="20"/>
        <v>5</v>
      </c>
      <c r="C119" s="6">
        <f t="shared" ca="1" si="21"/>
        <v>123</v>
      </c>
      <c r="D119" s="1">
        <f t="shared" ca="1" si="22"/>
        <v>6</v>
      </c>
      <c r="E119" s="6">
        <f t="shared" ca="1" si="23"/>
        <v>6</v>
      </c>
      <c r="F119" s="6">
        <f t="shared" ca="1" si="24"/>
        <v>893</v>
      </c>
      <c r="G119" s="6">
        <f t="shared" ca="1" si="25"/>
        <v>117</v>
      </c>
      <c r="H119">
        <f t="shared" ca="1" si="26"/>
        <v>0</v>
      </c>
      <c r="R119">
        <f t="shared" ca="1" si="18"/>
        <v>5</v>
      </c>
      <c r="U119">
        <f t="shared" ca="1" si="19"/>
        <v>6</v>
      </c>
    </row>
    <row r="120" spans="1:21" x14ac:dyDescent="0.3">
      <c r="A120">
        <v>104</v>
      </c>
      <c r="B120" s="1">
        <f t="shared" ca="1" si="20"/>
        <v>7</v>
      </c>
      <c r="C120" s="6">
        <f t="shared" ca="1" si="21"/>
        <v>124</v>
      </c>
      <c r="D120" s="1">
        <f t="shared" ca="1" si="22"/>
        <v>8</v>
      </c>
      <c r="E120" s="6">
        <f t="shared" ca="1" si="23"/>
        <v>8</v>
      </c>
      <c r="F120" s="6">
        <f t="shared" ca="1" si="24"/>
        <v>901</v>
      </c>
      <c r="G120" s="6">
        <f t="shared" ca="1" si="25"/>
        <v>116</v>
      </c>
      <c r="H120">
        <f t="shared" ca="1" si="26"/>
        <v>0</v>
      </c>
      <c r="R120">
        <f t="shared" ca="1" si="18"/>
        <v>7</v>
      </c>
      <c r="U120">
        <f t="shared" ca="1" si="19"/>
        <v>8</v>
      </c>
    </row>
    <row r="121" spans="1:21" x14ac:dyDescent="0.3">
      <c r="A121">
        <v>105</v>
      </c>
      <c r="B121" s="1">
        <f t="shared" ca="1" si="20"/>
        <v>5</v>
      </c>
      <c r="C121" s="6">
        <f t="shared" ca="1" si="21"/>
        <v>121</v>
      </c>
      <c r="D121" s="1">
        <f t="shared" ca="1" si="22"/>
        <v>8</v>
      </c>
      <c r="E121" s="6">
        <f t="shared" ca="1" si="23"/>
        <v>8</v>
      </c>
      <c r="F121" s="6">
        <f t="shared" ca="1" si="24"/>
        <v>909</v>
      </c>
      <c r="G121" s="6">
        <f t="shared" ca="1" si="25"/>
        <v>113</v>
      </c>
      <c r="H121">
        <f t="shared" ca="1" si="26"/>
        <v>0</v>
      </c>
      <c r="R121">
        <f t="shared" ca="1" si="18"/>
        <v>5</v>
      </c>
      <c r="U121">
        <f t="shared" ca="1" si="19"/>
        <v>8</v>
      </c>
    </row>
    <row r="122" spans="1:21" x14ac:dyDescent="0.3">
      <c r="A122">
        <v>106</v>
      </c>
      <c r="B122" s="1">
        <f t="shared" ca="1" si="20"/>
        <v>12</v>
      </c>
      <c r="C122" s="6">
        <f t="shared" ca="1" si="21"/>
        <v>125</v>
      </c>
      <c r="D122" s="1">
        <f t="shared" ca="1" si="22"/>
        <v>10</v>
      </c>
      <c r="E122" s="6">
        <f t="shared" ca="1" si="23"/>
        <v>10</v>
      </c>
      <c r="F122" s="6">
        <f t="shared" ca="1" si="24"/>
        <v>919</v>
      </c>
      <c r="G122" s="6">
        <f t="shared" ca="1" si="25"/>
        <v>115</v>
      </c>
      <c r="H122">
        <f t="shared" ca="1" si="26"/>
        <v>0</v>
      </c>
      <c r="R122">
        <f t="shared" ca="1" si="18"/>
        <v>12</v>
      </c>
      <c r="U122">
        <f t="shared" ca="1" si="19"/>
        <v>10</v>
      </c>
    </row>
    <row r="123" spans="1:21" x14ac:dyDescent="0.3">
      <c r="A123">
        <v>107</v>
      </c>
      <c r="B123" s="1">
        <f t="shared" ca="1" si="20"/>
        <v>11</v>
      </c>
      <c r="C123" s="6">
        <f t="shared" ca="1" si="21"/>
        <v>126</v>
      </c>
      <c r="D123" s="1">
        <f t="shared" ca="1" si="22"/>
        <v>8</v>
      </c>
      <c r="E123" s="6">
        <f t="shared" ca="1" si="23"/>
        <v>8</v>
      </c>
      <c r="F123" s="6">
        <f t="shared" ca="1" si="24"/>
        <v>927</v>
      </c>
      <c r="G123" s="6">
        <f t="shared" ca="1" si="25"/>
        <v>118</v>
      </c>
      <c r="H123">
        <f t="shared" ca="1" si="26"/>
        <v>0</v>
      </c>
      <c r="R123">
        <f t="shared" ca="1" si="18"/>
        <v>11</v>
      </c>
      <c r="U123">
        <f t="shared" ca="1" si="19"/>
        <v>8</v>
      </c>
    </row>
    <row r="124" spans="1:21" x14ac:dyDescent="0.3">
      <c r="A124">
        <v>108</v>
      </c>
      <c r="B124" s="1">
        <f t="shared" ca="1" si="20"/>
        <v>11</v>
      </c>
      <c r="C124" s="6">
        <f t="shared" ca="1" si="21"/>
        <v>129</v>
      </c>
      <c r="D124" s="1">
        <f t="shared" ca="1" si="22"/>
        <v>10</v>
      </c>
      <c r="E124" s="6">
        <f t="shared" ca="1" si="23"/>
        <v>10</v>
      </c>
      <c r="F124" s="6">
        <f t="shared" ca="1" si="24"/>
        <v>937</v>
      </c>
      <c r="G124" s="6">
        <f t="shared" ca="1" si="25"/>
        <v>119</v>
      </c>
      <c r="H124">
        <f t="shared" ca="1" si="26"/>
        <v>0</v>
      </c>
      <c r="R124">
        <f t="shared" ca="1" si="18"/>
        <v>11</v>
      </c>
      <c r="U124">
        <f t="shared" ca="1" si="19"/>
        <v>10</v>
      </c>
    </row>
    <row r="125" spans="1:21" x14ac:dyDescent="0.3">
      <c r="A125">
        <v>109</v>
      </c>
      <c r="B125" s="1">
        <f t="shared" ca="1" si="20"/>
        <v>11</v>
      </c>
      <c r="C125" s="6">
        <f t="shared" ca="1" si="21"/>
        <v>130</v>
      </c>
      <c r="D125" s="1">
        <f t="shared" ca="1" si="22"/>
        <v>6</v>
      </c>
      <c r="E125" s="6">
        <f t="shared" ca="1" si="23"/>
        <v>6</v>
      </c>
      <c r="F125" s="6">
        <f t="shared" ca="1" si="24"/>
        <v>943</v>
      </c>
      <c r="G125" s="6">
        <f t="shared" ca="1" si="25"/>
        <v>124</v>
      </c>
      <c r="H125">
        <f t="shared" ca="1" si="26"/>
        <v>0</v>
      </c>
      <c r="R125">
        <f t="shared" ca="1" si="18"/>
        <v>11</v>
      </c>
      <c r="U125">
        <f t="shared" ca="1" si="19"/>
        <v>6</v>
      </c>
    </row>
    <row r="126" spans="1:21" x14ac:dyDescent="0.3">
      <c r="A126">
        <v>110</v>
      </c>
      <c r="B126" s="1">
        <f t="shared" ca="1" si="20"/>
        <v>12</v>
      </c>
      <c r="C126" s="6">
        <f t="shared" ca="1" si="21"/>
        <v>136</v>
      </c>
      <c r="D126" s="1">
        <f t="shared" ca="1" si="22"/>
        <v>10</v>
      </c>
      <c r="E126" s="6">
        <f t="shared" ca="1" si="23"/>
        <v>10</v>
      </c>
      <c r="F126" s="6">
        <f t="shared" ca="1" si="24"/>
        <v>953</v>
      </c>
      <c r="G126" s="6">
        <f t="shared" ca="1" si="25"/>
        <v>126</v>
      </c>
      <c r="H126">
        <f t="shared" ca="1" si="26"/>
        <v>0</v>
      </c>
      <c r="R126">
        <f t="shared" ca="1" si="18"/>
        <v>12</v>
      </c>
      <c r="U126">
        <f t="shared" ca="1" si="19"/>
        <v>10</v>
      </c>
    </row>
    <row r="127" spans="1:21" x14ac:dyDescent="0.3">
      <c r="A127">
        <v>111</v>
      </c>
      <c r="B127" s="1">
        <f t="shared" ca="1" si="20"/>
        <v>12</v>
      </c>
      <c r="C127" s="6">
        <f t="shared" ca="1" si="21"/>
        <v>138</v>
      </c>
      <c r="D127" s="1">
        <f t="shared" ca="1" si="22"/>
        <v>8</v>
      </c>
      <c r="E127" s="6">
        <f t="shared" ca="1" si="23"/>
        <v>8</v>
      </c>
      <c r="F127" s="6">
        <f t="shared" ca="1" si="24"/>
        <v>961</v>
      </c>
      <c r="G127" s="6">
        <f t="shared" ca="1" si="25"/>
        <v>130</v>
      </c>
      <c r="H127">
        <f t="shared" ca="1" si="26"/>
        <v>0</v>
      </c>
      <c r="R127">
        <f t="shared" ca="1" si="18"/>
        <v>12</v>
      </c>
      <c r="U127">
        <f t="shared" ca="1" si="19"/>
        <v>8</v>
      </c>
    </row>
    <row r="128" spans="1:21" x14ac:dyDescent="0.3">
      <c r="A128">
        <v>112</v>
      </c>
      <c r="B128" s="1">
        <f t="shared" ca="1" si="20"/>
        <v>11</v>
      </c>
      <c r="C128" s="6">
        <f t="shared" ca="1" si="21"/>
        <v>141</v>
      </c>
      <c r="D128" s="1">
        <f t="shared" ca="1" si="22"/>
        <v>10</v>
      </c>
      <c r="E128" s="6">
        <f t="shared" ca="1" si="23"/>
        <v>10</v>
      </c>
      <c r="F128" s="6">
        <f t="shared" ca="1" si="24"/>
        <v>971</v>
      </c>
      <c r="G128" s="6">
        <f t="shared" ca="1" si="25"/>
        <v>131</v>
      </c>
      <c r="H128">
        <f t="shared" ca="1" si="26"/>
        <v>0</v>
      </c>
      <c r="R128">
        <f t="shared" ca="1" si="18"/>
        <v>11</v>
      </c>
      <c r="U128">
        <f t="shared" ca="1" si="19"/>
        <v>10</v>
      </c>
    </row>
    <row r="129" spans="1:21" x14ac:dyDescent="0.3">
      <c r="A129">
        <v>113</v>
      </c>
      <c r="B129" s="1">
        <f t="shared" ca="1" si="20"/>
        <v>12</v>
      </c>
      <c r="C129" s="6">
        <f t="shared" ca="1" si="21"/>
        <v>143</v>
      </c>
      <c r="D129" s="1">
        <f t="shared" ca="1" si="22"/>
        <v>6</v>
      </c>
      <c r="E129" s="6">
        <f t="shared" ca="1" si="23"/>
        <v>6</v>
      </c>
      <c r="F129" s="6">
        <f t="shared" ca="1" si="24"/>
        <v>977</v>
      </c>
      <c r="G129" s="6">
        <f t="shared" ca="1" si="25"/>
        <v>137</v>
      </c>
      <c r="H129">
        <f t="shared" ca="1" si="26"/>
        <v>0</v>
      </c>
      <c r="R129">
        <f t="shared" ca="1" si="18"/>
        <v>12</v>
      </c>
      <c r="U129">
        <f t="shared" ca="1" si="19"/>
        <v>6</v>
      </c>
    </row>
    <row r="130" spans="1:21" x14ac:dyDescent="0.3">
      <c r="A130">
        <v>114</v>
      </c>
      <c r="B130" s="1">
        <f t="shared" ca="1" si="20"/>
        <v>7</v>
      </c>
      <c r="C130" s="6">
        <f t="shared" ca="1" si="21"/>
        <v>144</v>
      </c>
      <c r="D130" s="1">
        <f t="shared" ca="1" si="22"/>
        <v>6</v>
      </c>
      <c r="E130" s="6">
        <f t="shared" ca="1" si="23"/>
        <v>6</v>
      </c>
      <c r="F130" s="6">
        <f t="shared" ca="1" si="24"/>
        <v>983</v>
      </c>
      <c r="G130" s="6">
        <f t="shared" ca="1" si="25"/>
        <v>138</v>
      </c>
      <c r="H130">
        <f t="shared" ca="1" si="26"/>
        <v>0</v>
      </c>
      <c r="R130">
        <f t="shared" ca="1" si="18"/>
        <v>7</v>
      </c>
      <c r="U130">
        <f t="shared" ca="1" si="19"/>
        <v>6</v>
      </c>
    </row>
    <row r="131" spans="1:21" x14ac:dyDescent="0.3">
      <c r="A131">
        <v>115</v>
      </c>
      <c r="B131" s="1">
        <f t="shared" ca="1" si="20"/>
        <v>5</v>
      </c>
      <c r="C131" s="6">
        <f t="shared" ca="1" si="21"/>
        <v>143</v>
      </c>
      <c r="D131" s="1">
        <f t="shared" ca="1" si="22"/>
        <v>6</v>
      </c>
      <c r="E131" s="6">
        <f t="shared" ca="1" si="23"/>
        <v>6</v>
      </c>
      <c r="F131" s="6">
        <f t="shared" ca="1" si="24"/>
        <v>989</v>
      </c>
      <c r="G131" s="6">
        <f t="shared" ca="1" si="25"/>
        <v>137</v>
      </c>
      <c r="H131">
        <f t="shared" ca="1" si="26"/>
        <v>0</v>
      </c>
      <c r="R131">
        <f t="shared" ca="1" si="18"/>
        <v>5</v>
      </c>
      <c r="U131">
        <f t="shared" ca="1" si="19"/>
        <v>6</v>
      </c>
    </row>
    <row r="132" spans="1:21" x14ac:dyDescent="0.3">
      <c r="A132">
        <v>116</v>
      </c>
      <c r="B132" s="1">
        <f t="shared" ca="1" si="20"/>
        <v>5</v>
      </c>
      <c r="C132" s="6">
        <f t="shared" ca="1" si="21"/>
        <v>142</v>
      </c>
      <c r="D132" s="1">
        <f t="shared" ca="1" si="22"/>
        <v>10</v>
      </c>
      <c r="E132" s="6">
        <f t="shared" ca="1" si="23"/>
        <v>10</v>
      </c>
      <c r="F132" s="6">
        <f t="shared" ca="1" si="24"/>
        <v>999</v>
      </c>
      <c r="G132" s="6">
        <f t="shared" ca="1" si="25"/>
        <v>132</v>
      </c>
      <c r="H132">
        <f t="shared" ca="1" si="26"/>
        <v>0</v>
      </c>
      <c r="R132">
        <f t="shared" ca="1" si="18"/>
        <v>5</v>
      </c>
      <c r="U132">
        <f t="shared" ca="1" si="19"/>
        <v>10</v>
      </c>
    </row>
    <row r="133" spans="1:21" x14ac:dyDescent="0.3">
      <c r="A133">
        <v>117</v>
      </c>
      <c r="B133" s="1">
        <f t="shared" ca="1" si="20"/>
        <v>11</v>
      </c>
      <c r="C133" s="6">
        <f t="shared" ca="1" si="21"/>
        <v>143</v>
      </c>
      <c r="D133" s="1">
        <f t="shared" ca="1" si="22"/>
        <v>10</v>
      </c>
      <c r="E133" s="6">
        <f t="shared" ca="1" si="23"/>
        <v>10</v>
      </c>
      <c r="F133" s="6">
        <f t="shared" ca="1" si="24"/>
        <v>1009</v>
      </c>
      <c r="G133" s="6">
        <f t="shared" ca="1" si="25"/>
        <v>133</v>
      </c>
      <c r="H133">
        <f t="shared" ca="1" si="26"/>
        <v>0</v>
      </c>
      <c r="R133">
        <f t="shared" ca="1" si="18"/>
        <v>11</v>
      </c>
      <c r="U133">
        <f t="shared" ca="1" si="19"/>
        <v>10</v>
      </c>
    </row>
    <row r="134" spans="1:21" x14ac:dyDescent="0.3">
      <c r="A134">
        <v>118</v>
      </c>
      <c r="B134" s="1">
        <f t="shared" ca="1" si="20"/>
        <v>12</v>
      </c>
      <c r="C134" s="6">
        <f t="shared" ca="1" si="21"/>
        <v>145</v>
      </c>
      <c r="D134" s="1">
        <f t="shared" ca="1" si="22"/>
        <v>10</v>
      </c>
      <c r="E134" s="6">
        <f t="shared" ca="1" si="23"/>
        <v>10</v>
      </c>
      <c r="F134" s="6">
        <f t="shared" ca="1" si="24"/>
        <v>1019</v>
      </c>
      <c r="G134" s="6">
        <f t="shared" ca="1" si="25"/>
        <v>135</v>
      </c>
      <c r="H134">
        <f t="shared" ca="1" si="26"/>
        <v>0</v>
      </c>
      <c r="R134">
        <f t="shared" ca="1" si="18"/>
        <v>12</v>
      </c>
      <c r="U134">
        <f t="shared" ca="1" si="19"/>
        <v>10</v>
      </c>
    </row>
    <row r="135" spans="1:21" x14ac:dyDescent="0.3">
      <c r="A135">
        <v>119</v>
      </c>
      <c r="B135" s="1">
        <f t="shared" ca="1" si="20"/>
        <v>11</v>
      </c>
      <c r="C135" s="6">
        <f t="shared" ca="1" si="21"/>
        <v>146</v>
      </c>
      <c r="D135" s="1">
        <f t="shared" ca="1" si="22"/>
        <v>8</v>
      </c>
      <c r="E135" s="6">
        <f t="shared" ca="1" si="23"/>
        <v>8</v>
      </c>
      <c r="F135" s="6">
        <f t="shared" ca="1" si="24"/>
        <v>1027</v>
      </c>
      <c r="G135" s="6">
        <f t="shared" ca="1" si="25"/>
        <v>138</v>
      </c>
      <c r="H135">
        <f t="shared" ca="1" si="26"/>
        <v>0</v>
      </c>
      <c r="R135">
        <f t="shared" ca="1" si="18"/>
        <v>11</v>
      </c>
      <c r="U135">
        <f t="shared" ca="1" si="19"/>
        <v>8</v>
      </c>
    </row>
    <row r="136" spans="1:21" x14ac:dyDescent="0.3">
      <c r="A136">
        <v>120</v>
      </c>
      <c r="B136" s="1">
        <f t="shared" ca="1" si="20"/>
        <v>11</v>
      </c>
      <c r="C136" s="6">
        <f t="shared" ca="1" si="21"/>
        <v>149</v>
      </c>
      <c r="D136" s="1">
        <f t="shared" ca="1" si="22"/>
        <v>8</v>
      </c>
      <c r="E136" s="6">
        <f t="shared" ca="1" si="23"/>
        <v>8</v>
      </c>
      <c r="F136" s="6">
        <f t="shared" ca="1" si="24"/>
        <v>1035</v>
      </c>
      <c r="G136" s="6">
        <f t="shared" ca="1" si="25"/>
        <v>141</v>
      </c>
      <c r="H136">
        <f t="shared" ca="1" si="26"/>
        <v>0</v>
      </c>
      <c r="R136">
        <f t="shared" ca="1" si="18"/>
        <v>11</v>
      </c>
      <c r="U136">
        <f t="shared" ca="1" si="19"/>
        <v>8</v>
      </c>
    </row>
    <row r="137" spans="1:21" x14ac:dyDescent="0.3">
      <c r="A137">
        <v>121</v>
      </c>
      <c r="B137" s="1">
        <f t="shared" ca="1" si="20"/>
        <v>11</v>
      </c>
      <c r="C137" s="6">
        <f t="shared" ca="1" si="21"/>
        <v>152</v>
      </c>
      <c r="D137" s="1">
        <f t="shared" ca="1" si="22"/>
        <v>6</v>
      </c>
      <c r="E137" s="6">
        <f t="shared" ca="1" si="23"/>
        <v>6</v>
      </c>
      <c r="F137" s="6">
        <f t="shared" ca="1" si="24"/>
        <v>1041</v>
      </c>
      <c r="G137" s="6">
        <f t="shared" ca="1" si="25"/>
        <v>146</v>
      </c>
      <c r="H137">
        <f t="shared" ca="1" si="26"/>
        <v>0</v>
      </c>
      <c r="R137">
        <f t="shared" ca="1" si="18"/>
        <v>11</v>
      </c>
      <c r="U137">
        <f t="shared" ca="1" si="19"/>
        <v>6</v>
      </c>
    </row>
    <row r="138" spans="1:21" x14ac:dyDescent="0.3">
      <c r="A138">
        <v>122</v>
      </c>
      <c r="B138" s="1">
        <f t="shared" ca="1" si="20"/>
        <v>7</v>
      </c>
      <c r="C138" s="6">
        <f t="shared" ca="1" si="21"/>
        <v>153</v>
      </c>
      <c r="D138" s="1">
        <f t="shared" ca="1" si="22"/>
        <v>8</v>
      </c>
      <c r="E138" s="6">
        <f t="shared" ca="1" si="23"/>
        <v>8</v>
      </c>
      <c r="F138" s="6">
        <f t="shared" ca="1" si="24"/>
        <v>1049</v>
      </c>
      <c r="G138" s="6">
        <f t="shared" ca="1" si="25"/>
        <v>145</v>
      </c>
      <c r="H138">
        <f t="shared" ca="1" si="26"/>
        <v>0</v>
      </c>
      <c r="R138">
        <f t="shared" ca="1" si="18"/>
        <v>7</v>
      </c>
      <c r="U138">
        <f t="shared" ca="1" si="19"/>
        <v>8</v>
      </c>
    </row>
    <row r="139" spans="1:21" x14ac:dyDescent="0.3">
      <c r="A139">
        <v>123</v>
      </c>
      <c r="B139" s="1">
        <f t="shared" ca="1" si="20"/>
        <v>5</v>
      </c>
      <c r="C139" s="6">
        <f t="shared" ca="1" si="21"/>
        <v>150</v>
      </c>
      <c r="D139" s="1">
        <f t="shared" ca="1" si="22"/>
        <v>8</v>
      </c>
      <c r="E139" s="6">
        <f t="shared" ca="1" si="23"/>
        <v>8</v>
      </c>
      <c r="F139" s="6">
        <f t="shared" ca="1" si="24"/>
        <v>1057</v>
      </c>
      <c r="G139" s="6">
        <f t="shared" ca="1" si="25"/>
        <v>142</v>
      </c>
      <c r="H139">
        <f t="shared" ca="1" si="26"/>
        <v>0</v>
      </c>
      <c r="R139">
        <f t="shared" ca="1" si="18"/>
        <v>5</v>
      </c>
      <c r="U139">
        <f t="shared" ca="1" si="19"/>
        <v>8</v>
      </c>
    </row>
    <row r="140" spans="1:21" x14ac:dyDescent="0.3">
      <c r="A140">
        <v>124</v>
      </c>
      <c r="B140" s="1">
        <f t="shared" ca="1" si="20"/>
        <v>11</v>
      </c>
      <c r="C140" s="6">
        <f t="shared" ca="1" si="21"/>
        <v>153</v>
      </c>
      <c r="D140" s="1">
        <f t="shared" ca="1" si="22"/>
        <v>10</v>
      </c>
      <c r="E140" s="6">
        <f t="shared" ca="1" si="23"/>
        <v>10</v>
      </c>
      <c r="F140" s="6">
        <f t="shared" ca="1" si="24"/>
        <v>1067</v>
      </c>
      <c r="G140" s="6">
        <f t="shared" ca="1" si="25"/>
        <v>143</v>
      </c>
      <c r="H140">
        <f t="shared" ca="1" si="26"/>
        <v>0</v>
      </c>
      <c r="R140">
        <f t="shared" ca="1" si="18"/>
        <v>11</v>
      </c>
      <c r="U140">
        <f t="shared" ca="1" si="19"/>
        <v>10</v>
      </c>
    </row>
    <row r="141" spans="1:21" x14ac:dyDescent="0.3">
      <c r="A141">
        <v>125</v>
      </c>
      <c r="B141" s="1">
        <f t="shared" ca="1" si="20"/>
        <v>7</v>
      </c>
      <c r="C141" s="6">
        <f t="shared" ca="1" si="21"/>
        <v>150</v>
      </c>
      <c r="D141" s="1">
        <f t="shared" ca="1" si="22"/>
        <v>8</v>
      </c>
      <c r="E141" s="6">
        <f t="shared" ca="1" si="23"/>
        <v>8</v>
      </c>
      <c r="F141" s="6">
        <f t="shared" ca="1" si="24"/>
        <v>1075</v>
      </c>
      <c r="G141" s="6">
        <f t="shared" ca="1" si="25"/>
        <v>142</v>
      </c>
      <c r="H141">
        <f t="shared" ca="1" si="26"/>
        <v>0</v>
      </c>
      <c r="R141">
        <f t="shared" ca="1" si="18"/>
        <v>7</v>
      </c>
      <c r="U141">
        <f t="shared" ca="1" si="19"/>
        <v>8</v>
      </c>
    </row>
    <row r="142" spans="1:21" x14ac:dyDescent="0.3">
      <c r="A142">
        <v>126</v>
      </c>
      <c r="B142" s="1">
        <f t="shared" ca="1" si="20"/>
        <v>12</v>
      </c>
      <c r="C142" s="6">
        <f t="shared" ca="1" si="21"/>
        <v>154</v>
      </c>
      <c r="D142" s="1">
        <f t="shared" ca="1" si="22"/>
        <v>8</v>
      </c>
      <c r="E142" s="6">
        <f t="shared" ca="1" si="23"/>
        <v>8</v>
      </c>
      <c r="F142" s="6">
        <f t="shared" ca="1" si="24"/>
        <v>1083</v>
      </c>
      <c r="G142" s="6">
        <f t="shared" ca="1" si="25"/>
        <v>146</v>
      </c>
      <c r="H142">
        <f t="shared" ca="1" si="26"/>
        <v>0</v>
      </c>
      <c r="R142">
        <f t="shared" ca="1" si="18"/>
        <v>12</v>
      </c>
      <c r="U142">
        <f t="shared" ca="1" si="19"/>
        <v>8</v>
      </c>
    </row>
    <row r="143" spans="1:21" x14ac:dyDescent="0.3">
      <c r="A143">
        <v>127</v>
      </c>
      <c r="B143" s="1">
        <f t="shared" ca="1" si="20"/>
        <v>5</v>
      </c>
      <c r="C143" s="6">
        <f t="shared" ca="1" si="21"/>
        <v>151</v>
      </c>
      <c r="D143" s="1">
        <f t="shared" ca="1" si="22"/>
        <v>10</v>
      </c>
      <c r="E143" s="6">
        <f t="shared" ca="1" si="23"/>
        <v>10</v>
      </c>
      <c r="F143" s="6">
        <f t="shared" ca="1" si="24"/>
        <v>1093</v>
      </c>
      <c r="G143" s="6">
        <f t="shared" ca="1" si="25"/>
        <v>141</v>
      </c>
      <c r="H143">
        <f t="shared" ca="1" si="26"/>
        <v>0</v>
      </c>
      <c r="R143">
        <f t="shared" ca="1" si="18"/>
        <v>5</v>
      </c>
      <c r="U143">
        <f t="shared" ca="1" si="19"/>
        <v>10</v>
      </c>
    </row>
    <row r="144" spans="1:21" x14ac:dyDescent="0.3">
      <c r="A144">
        <v>128</v>
      </c>
      <c r="B144" s="1">
        <f t="shared" ca="1" si="20"/>
        <v>11</v>
      </c>
      <c r="C144" s="6">
        <f t="shared" ca="1" si="21"/>
        <v>152</v>
      </c>
      <c r="D144" s="1">
        <f t="shared" ca="1" si="22"/>
        <v>8</v>
      </c>
      <c r="E144" s="6">
        <f t="shared" ca="1" si="23"/>
        <v>8</v>
      </c>
      <c r="F144" s="6">
        <f t="shared" ca="1" si="24"/>
        <v>1101</v>
      </c>
      <c r="G144" s="6">
        <f t="shared" ca="1" si="25"/>
        <v>144</v>
      </c>
      <c r="H144">
        <f t="shared" ca="1" si="26"/>
        <v>0</v>
      </c>
      <c r="R144">
        <f t="shared" ca="1" si="18"/>
        <v>11</v>
      </c>
      <c r="U144">
        <f t="shared" ca="1" si="19"/>
        <v>8</v>
      </c>
    </row>
    <row r="145" spans="1:21" x14ac:dyDescent="0.3">
      <c r="A145">
        <v>129</v>
      </c>
      <c r="B145" s="1">
        <f t="shared" ca="1" si="20"/>
        <v>7</v>
      </c>
      <c r="C145" s="6">
        <f t="shared" ca="1" si="21"/>
        <v>151</v>
      </c>
      <c r="D145" s="1">
        <f t="shared" ca="1" si="22"/>
        <v>10</v>
      </c>
      <c r="E145" s="6">
        <f t="shared" ca="1" si="23"/>
        <v>10</v>
      </c>
      <c r="F145" s="6">
        <f t="shared" ca="1" si="24"/>
        <v>1111</v>
      </c>
      <c r="G145" s="6">
        <f t="shared" ca="1" si="25"/>
        <v>141</v>
      </c>
      <c r="H145">
        <f t="shared" ca="1" si="26"/>
        <v>0</v>
      </c>
      <c r="R145">
        <f t="shared" ca="1" si="18"/>
        <v>7</v>
      </c>
      <c r="U145">
        <f t="shared" ca="1" si="19"/>
        <v>10</v>
      </c>
    </row>
    <row r="146" spans="1:21" x14ac:dyDescent="0.3">
      <c r="A146">
        <v>130</v>
      </c>
      <c r="B146" s="1">
        <f t="shared" ca="1" si="20"/>
        <v>12</v>
      </c>
      <c r="C146" s="6">
        <f t="shared" ca="1" si="21"/>
        <v>153</v>
      </c>
      <c r="D146" s="1">
        <f t="shared" ca="1" si="22"/>
        <v>10</v>
      </c>
      <c r="E146" s="6">
        <f t="shared" ca="1" si="23"/>
        <v>10</v>
      </c>
      <c r="F146" s="6">
        <f t="shared" ca="1" si="24"/>
        <v>1121</v>
      </c>
      <c r="G146" s="6">
        <f t="shared" ca="1" si="25"/>
        <v>143</v>
      </c>
      <c r="H146">
        <f t="shared" ca="1" si="26"/>
        <v>0</v>
      </c>
      <c r="R146">
        <f t="shared" ref="R146:R162" ca="1" si="27">VLOOKUP(RAND(),$Q$3:$R$6,2,TRUE)</f>
        <v>12</v>
      </c>
      <c r="U146">
        <f t="shared" ref="U146:U162" ca="1" si="28">VLOOKUP(RAND(),$T$3:$U$9,2,TRUE)</f>
        <v>10</v>
      </c>
    </row>
    <row r="147" spans="1:21" x14ac:dyDescent="0.3">
      <c r="A147">
        <v>131</v>
      </c>
      <c r="B147" s="1">
        <f t="shared" ca="1" si="20"/>
        <v>11</v>
      </c>
      <c r="C147" s="6">
        <f t="shared" ca="1" si="21"/>
        <v>154</v>
      </c>
      <c r="D147" s="1">
        <f t="shared" ca="1" si="22"/>
        <v>8</v>
      </c>
      <c r="E147" s="6">
        <f t="shared" ca="1" si="23"/>
        <v>8</v>
      </c>
      <c r="F147" s="6">
        <f t="shared" ca="1" si="24"/>
        <v>1129</v>
      </c>
      <c r="G147" s="6">
        <f t="shared" ca="1" si="25"/>
        <v>146</v>
      </c>
      <c r="H147">
        <f t="shared" ca="1" si="26"/>
        <v>0</v>
      </c>
      <c r="R147">
        <f t="shared" ca="1" si="27"/>
        <v>11</v>
      </c>
      <c r="U147">
        <f t="shared" ca="1" si="28"/>
        <v>8</v>
      </c>
    </row>
    <row r="148" spans="1:21" x14ac:dyDescent="0.3">
      <c r="A148">
        <v>132</v>
      </c>
      <c r="B148" s="1">
        <f t="shared" ca="1" si="20"/>
        <v>7</v>
      </c>
      <c r="C148" s="6">
        <f t="shared" ca="1" si="21"/>
        <v>153</v>
      </c>
      <c r="D148" s="1">
        <f t="shared" ca="1" si="22"/>
        <v>8</v>
      </c>
      <c r="E148" s="6">
        <f t="shared" ca="1" si="23"/>
        <v>8</v>
      </c>
      <c r="F148" s="6">
        <f t="shared" ca="1" si="24"/>
        <v>1137</v>
      </c>
      <c r="G148" s="6">
        <f t="shared" ca="1" si="25"/>
        <v>145</v>
      </c>
      <c r="H148">
        <f t="shared" ca="1" si="26"/>
        <v>0</v>
      </c>
      <c r="R148">
        <f t="shared" ca="1" si="27"/>
        <v>7</v>
      </c>
      <c r="U148">
        <f t="shared" ca="1" si="28"/>
        <v>8</v>
      </c>
    </row>
    <row r="149" spans="1:21" x14ac:dyDescent="0.3">
      <c r="A149">
        <v>133</v>
      </c>
      <c r="B149" s="1">
        <f t="shared" ca="1" si="20"/>
        <v>11</v>
      </c>
      <c r="C149" s="6">
        <f t="shared" ca="1" si="21"/>
        <v>156</v>
      </c>
      <c r="D149" s="1">
        <f t="shared" ca="1" si="22"/>
        <v>10</v>
      </c>
      <c r="E149" s="6">
        <f t="shared" ca="1" si="23"/>
        <v>10</v>
      </c>
      <c r="F149" s="6">
        <f t="shared" ca="1" si="24"/>
        <v>1147</v>
      </c>
      <c r="G149" s="6">
        <f t="shared" ca="1" si="25"/>
        <v>146</v>
      </c>
      <c r="H149">
        <f t="shared" ca="1" si="26"/>
        <v>0</v>
      </c>
      <c r="R149">
        <f t="shared" ca="1" si="27"/>
        <v>11</v>
      </c>
      <c r="U149">
        <f t="shared" ca="1" si="28"/>
        <v>10</v>
      </c>
    </row>
    <row r="150" spans="1:21" x14ac:dyDescent="0.3">
      <c r="A150">
        <v>134</v>
      </c>
      <c r="B150" s="1">
        <f t="shared" ca="1" si="20"/>
        <v>7</v>
      </c>
      <c r="C150" s="6">
        <f t="shared" ca="1" si="21"/>
        <v>153</v>
      </c>
      <c r="D150" s="1">
        <f t="shared" ca="1" si="22"/>
        <v>10</v>
      </c>
      <c r="E150" s="6">
        <f t="shared" ca="1" si="23"/>
        <v>10</v>
      </c>
      <c r="F150" s="6">
        <f t="shared" ca="1" si="24"/>
        <v>1157</v>
      </c>
      <c r="G150" s="6">
        <f t="shared" ca="1" si="25"/>
        <v>143</v>
      </c>
      <c r="H150">
        <f t="shared" ca="1" si="26"/>
        <v>0</v>
      </c>
      <c r="R150">
        <f t="shared" ca="1" si="27"/>
        <v>7</v>
      </c>
      <c r="U150">
        <f t="shared" ca="1" si="28"/>
        <v>10</v>
      </c>
    </row>
    <row r="151" spans="1:21" x14ac:dyDescent="0.3">
      <c r="A151">
        <v>135</v>
      </c>
      <c r="B151" s="1">
        <f t="shared" ca="1" si="20"/>
        <v>11</v>
      </c>
      <c r="C151" s="6">
        <f t="shared" ca="1" si="21"/>
        <v>154</v>
      </c>
      <c r="D151" s="1">
        <f t="shared" ca="1" si="22"/>
        <v>10</v>
      </c>
      <c r="E151" s="6">
        <f t="shared" ca="1" si="23"/>
        <v>10</v>
      </c>
      <c r="F151" s="6">
        <f t="shared" ca="1" si="24"/>
        <v>1167</v>
      </c>
      <c r="G151" s="6">
        <f t="shared" ca="1" si="25"/>
        <v>144</v>
      </c>
      <c r="H151">
        <f t="shared" ca="1" si="26"/>
        <v>0</v>
      </c>
      <c r="R151">
        <f t="shared" ca="1" si="27"/>
        <v>11</v>
      </c>
      <c r="U151">
        <f t="shared" ca="1" si="28"/>
        <v>10</v>
      </c>
    </row>
    <row r="152" spans="1:21" x14ac:dyDescent="0.3">
      <c r="A152">
        <v>136</v>
      </c>
      <c r="B152" s="1">
        <f t="shared" ref="B152:B162" ca="1" si="29">R152</f>
        <v>11</v>
      </c>
      <c r="C152" s="6">
        <f t="shared" ref="C152:C162" ca="1" si="30">G151+B152</f>
        <v>155</v>
      </c>
      <c r="D152" s="1">
        <f t="shared" ref="D152:D162" ca="1" si="31">U152</f>
        <v>10</v>
      </c>
      <c r="E152" s="6">
        <f t="shared" ref="E152:E162" ca="1" si="32">MIN(C152,D152)</f>
        <v>10</v>
      </c>
      <c r="F152" s="6">
        <f t="shared" ref="F152:F162" ca="1" si="33">F151+E152</f>
        <v>1177</v>
      </c>
      <c r="G152" s="6">
        <f t="shared" ref="G152:G162" ca="1" si="34">C152-E152</f>
        <v>145</v>
      </c>
      <c r="H152">
        <f t="shared" ref="H152:H162" ca="1" si="35">MAX(D152-C152,0)</f>
        <v>0</v>
      </c>
      <c r="R152">
        <f t="shared" ca="1" si="27"/>
        <v>11</v>
      </c>
      <c r="U152">
        <f t="shared" ca="1" si="28"/>
        <v>10</v>
      </c>
    </row>
    <row r="153" spans="1:21" x14ac:dyDescent="0.3">
      <c r="A153">
        <v>137</v>
      </c>
      <c r="B153" s="1">
        <f t="shared" ca="1" si="29"/>
        <v>11</v>
      </c>
      <c r="C153" s="6">
        <f t="shared" ca="1" si="30"/>
        <v>156</v>
      </c>
      <c r="D153" s="1">
        <f t="shared" ca="1" si="31"/>
        <v>8</v>
      </c>
      <c r="E153" s="6">
        <f t="shared" ca="1" si="32"/>
        <v>8</v>
      </c>
      <c r="F153" s="6">
        <f t="shared" ca="1" si="33"/>
        <v>1185</v>
      </c>
      <c r="G153" s="6">
        <f t="shared" ca="1" si="34"/>
        <v>148</v>
      </c>
      <c r="H153">
        <f t="shared" ca="1" si="35"/>
        <v>0</v>
      </c>
      <c r="R153">
        <f t="shared" ca="1" si="27"/>
        <v>11</v>
      </c>
      <c r="U153">
        <f t="shared" ca="1" si="28"/>
        <v>8</v>
      </c>
    </row>
    <row r="154" spans="1:21" x14ac:dyDescent="0.3">
      <c r="A154">
        <v>138</v>
      </c>
      <c r="B154" s="1">
        <f t="shared" ca="1" si="29"/>
        <v>11</v>
      </c>
      <c r="C154" s="6">
        <f t="shared" ca="1" si="30"/>
        <v>159</v>
      </c>
      <c r="D154" s="1">
        <f t="shared" ca="1" si="31"/>
        <v>8</v>
      </c>
      <c r="E154" s="6">
        <f t="shared" ca="1" si="32"/>
        <v>8</v>
      </c>
      <c r="F154" s="6">
        <f t="shared" ca="1" si="33"/>
        <v>1193</v>
      </c>
      <c r="G154" s="6">
        <f t="shared" ca="1" si="34"/>
        <v>151</v>
      </c>
      <c r="H154">
        <f t="shared" ca="1" si="35"/>
        <v>0</v>
      </c>
      <c r="R154">
        <f t="shared" ca="1" si="27"/>
        <v>11</v>
      </c>
      <c r="U154">
        <f t="shared" ca="1" si="28"/>
        <v>8</v>
      </c>
    </row>
    <row r="155" spans="1:21" x14ac:dyDescent="0.3">
      <c r="A155">
        <v>139</v>
      </c>
      <c r="B155" s="1">
        <f t="shared" ca="1" si="29"/>
        <v>12</v>
      </c>
      <c r="C155" s="6">
        <f t="shared" ca="1" si="30"/>
        <v>163</v>
      </c>
      <c r="D155" s="1">
        <f t="shared" ca="1" si="31"/>
        <v>15</v>
      </c>
      <c r="E155" s="6">
        <f t="shared" ca="1" si="32"/>
        <v>15</v>
      </c>
      <c r="F155" s="6">
        <f t="shared" ca="1" si="33"/>
        <v>1208</v>
      </c>
      <c r="G155" s="6">
        <f t="shared" ca="1" si="34"/>
        <v>148</v>
      </c>
      <c r="H155">
        <f t="shared" ca="1" si="35"/>
        <v>0</v>
      </c>
      <c r="R155">
        <f t="shared" ca="1" si="27"/>
        <v>12</v>
      </c>
      <c r="U155">
        <f t="shared" ca="1" si="28"/>
        <v>15</v>
      </c>
    </row>
    <row r="156" spans="1:21" x14ac:dyDescent="0.3">
      <c r="A156">
        <v>140</v>
      </c>
      <c r="B156" s="1">
        <f t="shared" ca="1" si="29"/>
        <v>12</v>
      </c>
      <c r="C156" s="6">
        <f t="shared" ca="1" si="30"/>
        <v>160</v>
      </c>
      <c r="D156" s="1">
        <f t="shared" ca="1" si="31"/>
        <v>15</v>
      </c>
      <c r="E156" s="6">
        <f t="shared" ca="1" si="32"/>
        <v>15</v>
      </c>
      <c r="F156" s="6">
        <f t="shared" ca="1" si="33"/>
        <v>1223</v>
      </c>
      <c r="G156" s="6">
        <f t="shared" ca="1" si="34"/>
        <v>145</v>
      </c>
      <c r="H156">
        <f t="shared" ca="1" si="35"/>
        <v>0</v>
      </c>
      <c r="R156">
        <f t="shared" ca="1" si="27"/>
        <v>12</v>
      </c>
      <c r="U156">
        <f t="shared" ca="1" si="28"/>
        <v>15</v>
      </c>
    </row>
    <row r="157" spans="1:21" x14ac:dyDescent="0.3">
      <c r="A157">
        <v>141</v>
      </c>
      <c r="B157" s="1">
        <f t="shared" ca="1" si="29"/>
        <v>12</v>
      </c>
      <c r="C157" s="6">
        <f t="shared" ca="1" si="30"/>
        <v>157</v>
      </c>
      <c r="D157" s="1">
        <f t="shared" ca="1" si="31"/>
        <v>6</v>
      </c>
      <c r="E157" s="6">
        <f t="shared" ca="1" si="32"/>
        <v>6</v>
      </c>
      <c r="F157" s="6">
        <f t="shared" ca="1" si="33"/>
        <v>1229</v>
      </c>
      <c r="G157" s="6">
        <f t="shared" ca="1" si="34"/>
        <v>151</v>
      </c>
      <c r="H157">
        <f t="shared" ca="1" si="35"/>
        <v>0</v>
      </c>
      <c r="R157">
        <f t="shared" ca="1" si="27"/>
        <v>12</v>
      </c>
      <c r="U157">
        <f t="shared" ca="1" si="28"/>
        <v>6</v>
      </c>
    </row>
    <row r="158" spans="1:21" x14ac:dyDescent="0.3">
      <c r="A158">
        <v>142</v>
      </c>
      <c r="B158" s="1">
        <f t="shared" ca="1" si="29"/>
        <v>5</v>
      </c>
      <c r="C158" s="6">
        <f t="shared" ca="1" si="30"/>
        <v>156</v>
      </c>
      <c r="D158" s="1">
        <f t="shared" ca="1" si="31"/>
        <v>8</v>
      </c>
      <c r="E158" s="6">
        <f t="shared" ca="1" si="32"/>
        <v>8</v>
      </c>
      <c r="F158" s="6">
        <f t="shared" ca="1" si="33"/>
        <v>1237</v>
      </c>
      <c r="G158" s="6">
        <f t="shared" ca="1" si="34"/>
        <v>148</v>
      </c>
      <c r="H158">
        <f t="shared" ca="1" si="35"/>
        <v>0</v>
      </c>
      <c r="R158">
        <f t="shared" ca="1" si="27"/>
        <v>5</v>
      </c>
      <c r="U158">
        <f t="shared" ca="1" si="28"/>
        <v>8</v>
      </c>
    </row>
    <row r="159" spans="1:21" x14ac:dyDescent="0.3">
      <c r="A159">
        <v>143</v>
      </c>
      <c r="B159" s="1">
        <f t="shared" ca="1" si="29"/>
        <v>12</v>
      </c>
      <c r="C159" s="6">
        <f t="shared" ca="1" si="30"/>
        <v>160</v>
      </c>
      <c r="D159" s="1">
        <f t="shared" ca="1" si="31"/>
        <v>10</v>
      </c>
      <c r="E159" s="6">
        <f t="shared" ca="1" si="32"/>
        <v>10</v>
      </c>
      <c r="F159" s="6">
        <f t="shared" ca="1" si="33"/>
        <v>1247</v>
      </c>
      <c r="G159" s="6">
        <f t="shared" ca="1" si="34"/>
        <v>150</v>
      </c>
      <c r="H159">
        <f t="shared" ca="1" si="35"/>
        <v>0</v>
      </c>
      <c r="R159">
        <f t="shared" ca="1" si="27"/>
        <v>12</v>
      </c>
      <c r="U159">
        <f t="shared" ca="1" si="28"/>
        <v>10</v>
      </c>
    </row>
    <row r="160" spans="1:21" x14ac:dyDescent="0.3">
      <c r="A160">
        <v>144</v>
      </c>
      <c r="B160" s="1">
        <f t="shared" ca="1" si="29"/>
        <v>11</v>
      </c>
      <c r="C160" s="6">
        <f t="shared" ca="1" si="30"/>
        <v>161</v>
      </c>
      <c r="D160" s="1">
        <f t="shared" ca="1" si="31"/>
        <v>6</v>
      </c>
      <c r="E160" s="6">
        <f t="shared" ca="1" si="32"/>
        <v>6</v>
      </c>
      <c r="F160" s="6">
        <f t="shared" ca="1" si="33"/>
        <v>1253</v>
      </c>
      <c r="G160" s="6">
        <f t="shared" ca="1" si="34"/>
        <v>155</v>
      </c>
      <c r="H160">
        <f t="shared" ca="1" si="35"/>
        <v>0</v>
      </c>
      <c r="R160">
        <f t="shared" ca="1" si="27"/>
        <v>11</v>
      </c>
      <c r="U160">
        <f t="shared" ca="1" si="28"/>
        <v>6</v>
      </c>
    </row>
    <row r="161" spans="1:21" x14ac:dyDescent="0.3">
      <c r="A161">
        <v>145</v>
      </c>
      <c r="B161" s="1">
        <f t="shared" ca="1" si="29"/>
        <v>7</v>
      </c>
      <c r="C161" s="6">
        <f t="shared" ca="1" si="30"/>
        <v>162</v>
      </c>
      <c r="D161" s="1">
        <f t="shared" ca="1" si="31"/>
        <v>8</v>
      </c>
      <c r="E161" s="6">
        <f t="shared" ca="1" si="32"/>
        <v>8</v>
      </c>
      <c r="F161" s="6">
        <f t="shared" ca="1" si="33"/>
        <v>1261</v>
      </c>
      <c r="G161" s="6">
        <f t="shared" ca="1" si="34"/>
        <v>154</v>
      </c>
      <c r="H161">
        <f t="shared" ca="1" si="35"/>
        <v>0</v>
      </c>
      <c r="R161">
        <f t="shared" ca="1" si="27"/>
        <v>7</v>
      </c>
      <c r="U161">
        <f t="shared" ca="1" si="28"/>
        <v>8</v>
      </c>
    </row>
    <row r="162" spans="1:21" x14ac:dyDescent="0.3">
      <c r="A162">
        <v>146</v>
      </c>
      <c r="B162" s="1">
        <f t="shared" ca="1" si="29"/>
        <v>12</v>
      </c>
      <c r="C162" s="6">
        <f t="shared" ca="1" si="30"/>
        <v>166</v>
      </c>
      <c r="D162" s="1">
        <f t="shared" ca="1" si="31"/>
        <v>10</v>
      </c>
      <c r="E162" s="6">
        <f t="shared" ca="1" si="32"/>
        <v>10</v>
      </c>
      <c r="F162" s="6">
        <f t="shared" ca="1" si="33"/>
        <v>1271</v>
      </c>
      <c r="G162" s="6">
        <f t="shared" ca="1" si="34"/>
        <v>156</v>
      </c>
      <c r="H162">
        <f t="shared" ca="1" si="35"/>
        <v>0</v>
      </c>
      <c r="R162">
        <f t="shared" ca="1" si="27"/>
        <v>12</v>
      </c>
      <c r="U162">
        <f t="shared" ca="1" si="28"/>
        <v>10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8DE6-7989-4562-B4FC-1BAAECB6035A}">
  <dimension ref="A2:U162"/>
  <sheetViews>
    <sheetView topLeftCell="D1" zoomScaleNormal="100" workbookViewId="0">
      <selection activeCell="A17" sqref="A17:H17"/>
    </sheetView>
  </sheetViews>
  <sheetFormatPr defaultRowHeight="14.4" x14ac:dyDescent="0.3"/>
  <cols>
    <col min="1" max="1" width="16.33203125" customWidth="1"/>
    <col min="10" max="10" width="19.109375" customWidth="1"/>
  </cols>
  <sheetData>
    <row r="2" spans="1:21" ht="15" thickBot="1" x14ac:dyDescent="0.35">
      <c r="J2" t="s">
        <v>8</v>
      </c>
      <c r="K2" t="s">
        <v>7</v>
      </c>
      <c r="M2" t="s">
        <v>1</v>
      </c>
      <c r="N2" t="s">
        <v>7</v>
      </c>
    </row>
    <row r="3" spans="1:21" ht="15" thickBot="1" x14ac:dyDescent="0.35">
      <c r="J3">
        <v>5</v>
      </c>
      <c r="K3">
        <v>0.1</v>
      </c>
      <c r="M3" s="7">
        <v>6</v>
      </c>
      <c r="N3">
        <v>0.15</v>
      </c>
      <c r="Q3">
        <v>0</v>
      </c>
      <c r="R3">
        <f>J3</f>
        <v>5</v>
      </c>
      <c r="T3">
        <v>0</v>
      </c>
      <c r="U3" s="7">
        <f>M3</f>
        <v>6</v>
      </c>
    </row>
    <row r="4" spans="1:21" ht="15" thickBot="1" x14ac:dyDescent="0.35">
      <c r="B4" s="7"/>
      <c r="C4" s="8"/>
      <c r="D4" s="8"/>
      <c r="E4" s="8"/>
      <c r="F4" s="8"/>
      <c r="G4" s="8"/>
      <c r="H4" s="9"/>
      <c r="J4">
        <v>7</v>
      </c>
      <c r="K4">
        <v>0.4</v>
      </c>
      <c r="M4" s="8">
        <v>8</v>
      </c>
      <c r="N4">
        <v>0.1</v>
      </c>
      <c r="Q4">
        <f>SUM(K$3:$K3)</f>
        <v>0.1</v>
      </c>
      <c r="R4">
        <f t="shared" ref="R4:R6" si="0">J4</f>
        <v>7</v>
      </c>
      <c r="T4">
        <f>SUM($N$3:N3)</f>
        <v>0.15</v>
      </c>
      <c r="U4" s="7">
        <f t="shared" ref="U4:U6" si="1">M4</f>
        <v>8</v>
      </c>
    </row>
    <row r="5" spans="1:21" ht="15" thickBot="1" x14ac:dyDescent="0.35">
      <c r="J5">
        <v>9</v>
      </c>
      <c r="K5">
        <v>0.2</v>
      </c>
      <c r="M5" s="8">
        <v>10</v>
      </c>
      <c r="N5">
        <v>0.35</v>
      </c>
      <c r="Q5">
        <f>SUM(K$3:$K4)</f>
        <v>0.5</v>
      </c>
      <c r="R5">
        <f t="shared" si="0"/>
        <v>9</v>
      </c>
      <c r="T5">
        <f>SUM($N$3:N4)</f>
        <v>0.25</v>
      </c>
      <c r="U5" s="7">
        <f t="shared" si="1"/>
        <v>10</v>
      </c>
    </row>
    <row r="6" spans="1:21" ht="15" thickBot="1" x14ac:dyDescent="0.35">
      <c r="J6">
        <v>12</v>
      </c>
      <c r="K6">
        <v>0.3</v>
      </c>
      <c r="M6" s="8">
        <v>15</v>
      </c>
      <c r="N6">
        <v>0.4</v>
      </c>
      <c r="Q6">
        <f>SUM(K$3:$K5)</f>
        <v>0.7</v>
      </c>
      <c r="R6">
        <f t="shared" si="0"/>
        <v>12</v>
      </c>
      <c r="T6">
        <f>SUM($N$3:N5)</f>
        <v>0.6</v>
      </c>
      <c r="U6" s="7">
        <f t="shared" si="1"/>
        <v>15</v>
      </c>
    </row>
    <row r="7" spans="1:21" x14ac:dyDescent="0.3">
      <c r="M7" s="8"/>
      <c r="Q7">
        <f>SUM(K$3:$K6)</f>
        <v>1</v>
      </c>
      <c r="R7" s="8"/>
      <c r="T7">
        <f>SUM($N$3:N6)</f>
        <v>1</v>
      </c>
      <c r="U7" s="7"/>
    </row>
    <row r="8" spans="1:21" ht="15" thickBot="1" x14ac:dyDescent="0.35">
      <c r="M8" s="8"/>
      <c r="R8" s="8"/>
      <c r="U8" s="8"/>
    </row>
    <row r="9" spans="1:21" ht="15" thickBot="1" x14ac:dyDescent="0.35">
      <c r="B9" s="7"/>
      <c r="C9" s="8"/>
      <c r="D9" s="8"/>
      <c r="E9" s="8"/>
      <c r="F9" s="8"/>
      <c r="G9" s="8"/>
      <c r="H9" s="9"/>
      <c r="J9">
        <f>J3*K3+J4*K4+J5*K5+J6*K6</f>
        <v>8.6999999999999993</v>
      </c>
      <c r="M9" s="9"/>
      <c r="R9" s="9"/>
      <c r="U9" s="9"/>
    </row>
    <row r="11" spans="1:21" x14ac:dyDescent="0.3">
      <c r="M11">
        <f>M3*N3+M4*N4+M5*N5+M6*N6+M7*N7+M8*N8+M9*N9</f>
        <v>11.2</v>
      </c>
    </row>
    <row r="14" spans="1:21" x14ac:dyDescent="0.3">
      <c r="M14">
        <f>VLOOKUP(0.2,T3:U9,2,TRUE)</f>
        <v>8</v>
      </c>
    </row>
    <row r="16" spans="1:21" ht="57.6" x14ac:dyDescent="0.3">
      <c r="A16" t="s">
        <v>23</v>
      </c>
      <c r="B16" s="1" t="s">
        <v>24</v>
      </c>
      <c r="C16" s="3" t="s">
        <v>25</v>
      </c>
      <c r="D16" s="3" t="s">
        <v>26</v>
      </c>
      <c r="E16" s="3" t="s">
        <v>22</v>
      </c>
      <c r="F16" s="3" t="s">
        <v>27</v>
      </c>
      <c r="G16" s="3" t="s">
        <v>28</v>
      </c>
      <c r="H16" s="4" t="s">
        <v>29</v>
      </c>
    </row>
    <row r="17" spans="1:21" x14ac:dyDescent="0.3">
      <c r="A17">
        <v>1</v>
      </c>
      <c r="B17" s="1">
        <f ca="1">R17</f>
        <v>5</v>
      </c>
      <c r="C17" s="6">
        <f ca="1">B17</f>
        <v>5</v>
      </c>
      <c r="D17" s="1">
        <f ca="1">U17</f>
        <v>8</v>
      </c>
      <c r="E17" s="6">
        <f ca="1">MIN(C17,D17)</f>
        <v>5</v>
      </c>
      <c r="F17" s="6">
        <f ca="1">E17</f>
        <v>5</v>
      </c>
      <c r="G17" s="6">
        <f ca="1">C17-E17</f>
        <v>0</v>
      </c>
      <c r="H17">
        <f ca="1">MAX(D17-C17,0)</f>
        <v>3</v>
      </c>
      <c r="R17">
        <f ca="1">VLOOKUP(RAND(),$Q$3:$R$6,2,TRUE)</f>
        <v>5</v>
      </c>
      <c r="U17">
        <f ca="1">VLOOKUP(RAND(),$T$3:$U$9,2,TRUE)</f>
        <v>8</v>
      </c>
    </row>
    <row r="18" spans="1:21" x14ac:dyDescent="0.3">
      <c r="A18">
        <v>2</v>
      </c>
      <c r="B18" s="1">
        <f t="shared" ref="B18:B81" ca="1" si="2">R18</f>
        <v>7</v>
      </c>
      <c r="C18" s="6">
        <f ca="1">G17+B18</f>
        <v>7</v>
      </c>
      <c r="D18" s="1">
        <f t="shared" ref="D18:D81" ca="1" si="3">U18</f>
        <v>15</v>
      </c>
      <c r="E18" s="6">
        <f ca="1">MIN(C18,D18)</f>
        <v>7</v>
      </c>
      <c r="F18" s="6">
        <f ca="1">F17+E18</f>
        <v>12</v>
      </c>
      <c r="G18" s="6">
        <f ca="1">C18-E18</f>
        <v>0</v>
      </c>
      <c r="H18">
        <f t="shared" ref="H18:H81" ca="1" si="4">MAX(D18-C18,0)</f>
        <v>8</v>
      </c>
      <c r="R18">
        <f t="shared" ref="R18:R81" ca="1" si="5">VLOOKUP(RAND(),$Q$3:$R$6,2,TRUE)</f>
        <v>7</v>
      </c>
      <c r="U18">
        <f t="shared" ref="U18:U81" ca="1" si="6">VLOOKUP(RAND(),$T$3:$U$9,2,TRUE)</f>
        <v>15</v>
      </c>
    </row>
    <row r="19" spans="1:21" x14ac:dyDescent="0.3">
      <c r="A19">
        <v>3</v>
      </c>
      <c r="B19" s="1">
        <f t="shared" ca="1" si="2"/>
        <v>12</v>
      </c>
      <c r="C19" s="6">
        <f t="shared" ref="C19:C82" ca="1" si="7">G18+B19</f>
        <v>12</v>
      </c>
      <c r="D19" s="1">
        <f t="shared" ca="1" si="3"/>
        <v>10</v>
      </c>
      <c r="E19" s="6">
        <f t="shared" ref="E19:E82" ca="1" si="8">MIN(C19,D19)</f>
        <v>10</v>
      </c>
      <c r="F19" s="6">
        <f t="shared" ref="F19:F82" ca="1" si="9">F18+E19</f>
        <v>22</v>
      </c>
      <c r="G19" s="6">
        <f t="shared" ref="G19:G82" ca="1" si="10">C19-E19</f>
        <v>2</v>
      </c>
      <c r="H19">
        <f t="shared" ca="1" si="4"/>
        <v>0</v>
      </c>
      <c r="R19">
        <f t="shared" ca="1" si="5"/>
        <v>12</v>
      </c>
      <c r="U19">
        <f t="shared" ca="1" si="6"/>
        <v>10</v>
      </c>
    </row>
    <row r="20" spans="1:21" x14ac:dyDescent="0.3">
      <c r="A20">
        <v>4</v>
      </c>
      <c r="B20" s="1">
        <f t="shared" ca="1" si="2"/>
        <v>7</v>
      </c>
      <c r="C20" s="6">
        <f t="shared" ca="1" si="7"/>
        <v>9</v>
      </c>
      <c r="D20" s="1">
        <f t="shared" ca="1" si="3"/>
        <v>15</v>
      </c>
      <c r="E20" s="6">
        <f t="shared" ca="1" si="8"/>
        <v>9</v>
      </c>
      <c r="F20" s="6">
        <f t="shared" ca="1" si="9"/>
        <v>31</v>
      </c>
      <c r="G20" s="6">
        <f t="shared" ca="1" si="10"/>
        <v>0</v>
      </c>
      <c r="H20">
        <f t="shared" ca="1" si="4"/>
        <v>6</v>
      </c>
      <c r="R20">
        <f t="shared" ca="1" si="5"/>
        <v>7</v>
      </c>
      <c r="U20">
        <f t="shared" ca="1" si="6"/>
        <v>15</v>
      </c>
    </row>
    <row r="21" spans="1:21" x14ac:dyDescent="0.3">
      <c r="A21">
        <v>5</v>
      </c>
      <c r="B21" s="1">
        <f t="shared" ca="1" si="2"/>
        <v>9</v>
      </c>
      <c r="C21" s="6">
        <f t="shared" ca="1" si="7"/>
        <v>9</v>
      </c>
      <c r="D21" s="1">
        <f t="shared" ca="1" si="3"/>
        <v>15</v>
      </c>
      <c r="E21" s="6">
        <f t="shared" ca="1" si="8"/>
        <v>9</v>
      </c>
      <c r="F21" s="6">
        <f t="shared" ca="1" si="9"/>
        <v>40</v>
      </c>
      <c r="G21" s="6">
        <f t="shared" ca="1" si="10"/>
        <v>0</v>
      </c>
      <c r="H21">
        <f t="shared" ca="1" si="4"/>
        <v>6</v>
      </c>
      <c r="R21">
        <f t="shared" ca="1" si="5"/>
        <v>9</v>
      </c>
      <c r="U21">
        <f t="shared" ca="1" si="6"/>
        <v>15</v>
      </c>
    </row>
    <row r="22" spans="1:21" x14ac:dyDescent="0.3">
      <c r="A22">
        <v>6</v>
      </c>
      <c r="B22" s="1">
        <f t="shared" ca="1" si="2"/>
        <v>5</v>
      </c>
      <c r="C22" s="6">
        <f t="shared" ca="1" si="7"/>
        <v>5</v>
      </c>
      <c r="D22" s="1">
        <f t="shared" ca="1" si="3"/>
        <v>10</v>
      </c>
      <c r="E22" s="6">
        <f t="shared" ca="1" si="8"/>
        <v>5</v>
      </c>
      <c r="F22" s="6">
        <f t="shared" ca="1" si="9"/>
        <v>45</v>
      </c>
      <c r="G22" s="6">
        <f t="shared" ca="1" si="10"/>
        <v>0</v>
      </c>
      <c r="H22">
        <f t="shared" ca="1" si="4"/>
        <v>5</v>
      </c>
      <c r="R22">
        <f t="shared" ca="1" si="5"/>
        <v>5</v>
      </c>
      <c r="U22">
        <f t="shared" ca="1" si="6"/>
        <v>10</v>
      </c>
    </row>
    <row r="23" spans="1:21" x14ac:dyDescent="0.3">
      <c r="A23">
        <v>7</v>
      </c>
      <c r="B23" s="1">
        <f t="shared" ca="1" si="2"/>
        <v>9</v>
      </c>
      <c r="C23" s="6">
        <f t="shared" ca="1" si="7"/>
        <v>9</v>
      </c>
      <c r="D23" s="1">
        <f t="shared" ca="1" si="3"/>
        <v>8</v>
      </c>
      <c r="E23" s="6">
        <f t="shared" ca="1" si="8"/>
        <v>8</v>
      </c>
      <c r="F23" s="6">
        <f t="shared" ca="1" si="9"/>
        <v>53</v>
      </c>
      <c r="G23" s="6">
        <f t="shared" ca="1" si="10"/>
        <v>1</v>
      </c>
      <c r="H23">
        <f t="shared" ca="1" si="4"/>
        <v>0</v>
      </c>
      <c r="R23">
        <f t="shared" ca="1" si="5"/>
        <v>9</v>
      </c>
      <c r="U23">
        <f t="shared" ca="1" si="6"/>
        <v>8</v>
      </c>
    </row>
    <row r="24" spans="1:21" x14ac:dyDescent="0.3">
      <c r="A24">
        <v>8</v>
      </c>
      <c r="B24" s="1">
        <f t="shared" ca="1" si="2"/>
        <v>12</v>
      </c>
      <c r="C24" s="6">
        <f t="shared" ca="1" si="7"/>
        <v>13</v>
      </c>
      <c r="D24" s="1">
        <f t="shared" ca="1" si="3"/>
        <v>8</v>
      </c>
      <c r="E24" s="6">
        <f t="shared" ca="1" si="8"/>
        <v>8</v>
      </c>
      <c r="F24" s="6">
        <f t="shared" ca="1" si="9"/>
        <v>61</v>
      </c>
      <c r="G24" s="6">
        <f t="shared" ca="1" si="10"/>
        <v>5</v>
      </c>
      <c r="H24">
        <f t="shared" ca="1" si="4"/>
        <v>0</v>
      </c>
      <c r="R24">
        <f t="shared" ca="1" si="5"/>
        <v>12</v>
      </c>
      <c r="U24">
        <f t="shared" ca="1" si="6"/>
        <v>8</v>
      </c>
    </row>
    <row r="25" spans="1:21" x14ac:dyDescent="0.3">
      <c r="A25">
        <v>9</v>
      </c>
      <c r="B25" s="1">
        <f t="shared" ca="1" si="2"/>
        <v>7</v>
      </c>
      <c r="C25" s="6">
        <f t="shared" ca="1" si="7"/>
        <v>12</v>
      </c>
      <c r="D25" s="1">
        <f t="shared" ca="1" si="3"/>
        <v>15</v>
      </c>
      <c r="E25" s="6">
        <f t="shared" ca="1" si="8"/>
        <v>12</v>
      </c>
      <c r="F25" s="6">
        <f t="shared" ca="1" si="9"/>
        <v>73</v>
      </c>
      <c r="G25" s="6">
        <f t="shared" ca="1" si="10"/>
        <v>0</v>
      </c>
      <c r="H25">
        <f t="shared" ca="1" si="4"/>
        <v>3</v>
      </c>
      <c r="R25">
        <f t="shared" ca="1" si="5"/>
        <v>7</v>
      </c>
      <c r="U25">
        <f t="shared" ca="1" si="6"/>
        <v>15</v>
      </c>
    </row>
    <row r="26" spans="1:21" x14ac:dyDescent="0.3">
      <c r="A26">
        <v>10</v>
      </c>
      <c r="B26" s="1">
        <f t="shared" ca="1" si="2"/>
        <v>7</v>
      </c>
      <c r="C26" s="6">
        <f t="shared" ca="1" si="7"/>
        <v>7</v>
      </c>
      <c r="D26" s="1">
        <f t="shared" ca="1" si="3"/>
        <v>10</v>
      </c>
      <c r="E26" s="6">
        <f t="shared" ca="1" si="8"/>
        <v>7</v>
      </c>
      <c r="F26" s="6">
        <f t="shared" ca="1" si="9"/>
        <v>80</v>
      </c>
      <c r="G26" s="6">
        <f t="shared" ca="1" si="10"/>
        <v>0</v>
      </c>
      <c r="H26">
        <f t="shared" ca="1" si="4"/>
        <v>3</v>
      </c>
      <c r="R26">
        <f t="shared" ca="1" si="5"/>
        <v>7</v>
      </c>
      <c r="U26">
        <f t="shared" ca="1" si="6"/>
        <v>10</v>
      </c>
    </row>
    <row r="27" spans="1:21" x14ac:dyDescent="0.3">
      <c r="A27">
        <v>11</v>
      </c>
      <c r="B27" s="1">
        <f t="shared" ca="1" si="2"/>
        <v>7</v>
      </c>
      <c r="C27" s="6">
        <f t="shared" ca="1" si="7"/>
        <v>7</v>
      </c>
      <c r="D27" s="1">
        <f t="shared" ca="1" si="3"/>
        <v>8</v>
      </c>
      <c r="E27" s="6">
        <f t="shared" ca="1" si="8"/>
        <v>7</v>
      </c>
      <c r="F27" s="6">
        <f t="shared" ca="1" si="9"/>
        <v>87</v>
      </c>
      <c r="G27" s="6">
        <f t="shared" ca="1" si="10"/>
        <v>0</v>
      </c>
      <c r="H27">
        <f t="shared" ca="1" si="4"/>
        <v>1</v>
      </c>
      <c r="R27">
        <f t="shared" ca="1" si="5"/>
        <v>7</v>
      </c>
      <c r="U27">
        <f t="shared" ca="1" si="6"/>
        <v>8</v>
      </c>
    </row>
    <row r="28" spans="1:21" x14ac:dyDescent="0.3">
      <c r="A28">
        <v>12</v>
      </c>
      <c r="B28" s="1">
        <f t="shared" ca="1" si="2"/>
        <v>12</v>
      </c>
      <c r="C28" s="6">
        <f t="shared" ca="1" si="7"/>
        <v>12</v>
      </c>
      <c r="D28" s="1">
        <f t="shared" ca="1" si="3"/>
        <v>15</v>
      </c>
      <c r="E28" s="6">
        <f t="shared" ca="1" si="8"/>
        <v>12</v>
      </c>
      <c r="F28" s="6">
        <f t="shared" ca="1" si="9"/>
        <v>99</v>
      </c>
      <c r="G28" s="6">
        <f t="shared" ca="1" si="10"/>
        <v>0</v>
      </c>
      <c r="H28">
        <f t="shared" ca="1" si="4"/>
        <v>3</v>
      </c>
      <c r="R28">
        <f t="shared" ca="1" si="5"/>
        <v>12</v>
      </c>
      <c r="U28">
        <f t="shared" ca="1" si="6"/>
        <v>15</v>
      </c>
    </row>
    <row r="29" spans="1:21" x14ac:dyDescent="0.3">
      <c r="A29">
        <v>13</v>
      </c>
      <c r="B29" s="1">
        <f t="shared" ca="1" si="2"/>
        <v>7</v>
      </c>
      <c r="C29" s="6">
        <f t="shared" ca="1" si="7"/>
        <v>7</v>
      </c>
      <c r="D29" s="1">
        <f t="shared" ca="1" si="3"/>
        <v>15</v>
      </c>
      <c r="E29" s="6">
        <f t="shared" ca="1" si="8"/>
        <v>7</v>
      </c>
      <c r="F29" s="6">
        <f t="shared" ca="1" si="9"/>
        <v>106</v>
      </c>
      <c r="G29" s="6">
        <f t="shared" ca="1" si="10"/>
        <v>0</v>
      </c>
      <c r="H29">
        <f t="shared" ca="1" si="4"/>
        <v>8</v>
      </c>
      <c r="R29">
        <f t="shared" ca="1" si="5"/>
        <v>7</v>
      </c>
      <c r="U29">
        <f t="shared" ca="1" si="6"/>
        <v>15</v>
      </c>
    </row>
    <row r="30" spans="1:21" x14ac:dyDescent="0.3">
      <c r="A30">
        <v>14</v>
      </c>
      <c r="B30" s="1">
        <f t="shared" ca="1" si="2"/>
        <v>12</v>
      </c>
      <c r="C30" s="6">
        <f t="shared" ca="1" si="7"/>
        <v>12</v>
      </c>
      <c r="D30" s="1">
        <f t="shared" ca="1" si="3"/>
        <v>6</v>
      </c>
      <c r="E30" s="6">
        <f t="shared" ca="1" si="8"/>
        <v>6</v>
      </c>
      <c r="F30" s="6">
        <f t="shared" ca="1" si="9"/>
        <v>112</v>
      </c>
      <c r="G30" s="6">
        <f t="shared" ca="1" si="10"/>
        <v>6</v>
      </c>
      <c r="H30">
        <f t="shared" ca="1" si="4"/>
        <v>0</v>
      </c>
      <c r="R30">
        <f t="shared" ca="1" si="5"/>
        <v>12</v>
      </c>
      <c r="U30">
        <f t="shared" ca="1" si="6"/>
        <v>6</v>
      </c>
    </row>
    <row r="31" spans="1:21" x14ac:dyDescent="0.3">
      <c r="A31">
        <v>15</v>
      </c>
      <c r="B31" s="1">
        <f t="shared" ca="1" si="2"/>
        <v>5</v>
      </c>
      <c r="C31" s="6">
        <f t="shared" ca="1" si="7"/>
        <v>11</v>
      </c>
      <c r="D31" s="1">
        <f t="shared" ca="1" si="3"/>
        <v>6</v>
      </c>
      <c r="E31" s="6">
        <f t="shared" ca="1" si="8"/>
        <v>6</v>
      </c>
      <c r="F31" s="6">
        <f t="shared" ca="1" si="9"/>
        <v>118</v>
      </c>
      <c r="G31" s="6">
        <f t="shared" ca="1" si="10"/>
        <v>5</v>
      </c>
      <c r="H31">
        <f t="shared" ca="1" si="4"/>
        <v>0</v>
      </c>
      <c r="R31">
        <f t="shared" ca="1" si="5"/>
        <v>5</v>
      </c>
      <c r="U31">
        <f t="shared" ca="1" si="6"/>
        <v>6</v>
      </c>
    </row>
    <row r="32" spans="1:21" x14ac:dyDescent="0.3">
      <c r="A32">
        <v>16</v>
      </c>
      <c r="B32" s="1">
        <f t="shared" ca="1" si="2"/>
        <v>5</v>
      </c>
      <c r="C32" s="6">
        <f t="shared" ca="1" si="7"/>
        <v>10</v>
      </c>
      <c r="D32" s="1">
        <f t="shared" ca="1" si="3"/>
        <v>6</v>
      </c>
      <c r="E32" s="6">
        <f t="shared" ca="1" si="8"/>
        <v>6</v>
      </c>
      <c r="F32" s="6">
        <f t="shared" ca="1" si="9"/>
        <v>124</v>
      </c>
      <c r="G32" s="6">
        <f t="shared" ca="1" si="10"/>
        <v>4</v>
      </c>
      <c r="H32">
        <f t="shared" ca="1" si="4"/>
        <v>0</v>
      </c>
      <c r="R32">
        <f t="shared" ca="1" si="5"/>
        <v>5</v>
      </c>
      <c r="U32">
        <f t="shared" ca="1" si="6"/>
        <v>6</v>
      </c>
    </row>
    <row r="33" spans="1:21" x14ac:dyDescent="0.3">
      <c r="A33">
        <v>17</v>
      </c>
      <c r="B33" s="1">
        <f t="shared" ca="1" si="2"/>
        <v>7</v>
      </c>
      <c r="C33" s="6">
        <f t="shared" ca="1" si="7"/>
        <v>11</v>
      </c>
      <c r="D33" s="1">
        <f t="shared" ca="1" si="3"/>
        <v>6</v>
      </c>
      <c r="E33" s="6">
        <f t="shared" ca="1" si="8"/>
        <v>6</v>
      </c>
      <c r="F33" s="6">
        <f t="shared" ca="1" si="9"/>
        <v>130</v>
      </c>
      <c r="G33" s="6">
        <f t="shared" ca="1" si="10"/>
        <v>5</v>
      </c>
      <c r="H33">
        <f t="shared" ca="1" si="4"/>
        <v>0</v>
      </c>
      <c r="R33">
        <f t="shared" ca="1" si="5"/>
        <v>7</v>
      </c>
      <c r="U33">
        <f t="shared" ca="1" si="6"/>
        <v>6</v>
      </c>
    </row>
    <row r="34" spans="1:21" x14ac:dyDescent="0.3">
      <c r="A34">
        <v>18</v>
      </c>
      <c r="B34" s="1">
        <f t="shared" ca="1" si="2"/>
        <v>9</v>
      </c>
      <c r="C34" s="6">
        <f t="shared" ca="1" si="7"/>
        <v>14</v>
      </c>
      <c r="D34" s="1">
        <f t="shared" ca="1" si="3"/>
        <v>6</v>
      </c>
      <c r="E34" s="6">
        <f t="shared" ca="1" si="8"/>
        <v>6</v>
      </c>
      <c r="F34" s="6">
        <f t="shared" ca="1" si="9"/>
        <v>136</v>
      </c>
      <c r="G34" s="6">
        <f t="shared" ca="1" si="10"/>
        <v>8</v>
      </c>
      <c r="H34">
        <f t="shared" ca="1" si="4"/>
        <v>0</v>
      </c>
      <c r="R34">
        <f t="shared" ca="1" si="5"/>
        <v>9</v>
      </c>
      <c r="U34">
        <f t="shared" ca="1" si="6"/>
        <v>6</v>
      </c>
    </row>
    <row r="35" spans="1:21" x14ac:dyDescent="0.3">
      <c r="A35">
        <v>19</v>
      </c>
      <c r="B35" s="1">
        <f t="shared" ca="1" si="2"/>
        <v>7</v>
      </c>
      <c r="C35" s="6">
        <f t="shared" ca="1" si="7"/>
        <v>15</v>
      </c>
      <c r="D35" s="1">
        <f t="shared" ca="1" si="3"/>
        <v>6</v>
      </c>
      <c r="E35" s="6">
        <f t="shared" ca="1" si="8"/>
        <v>6</v>
      </c>
      <c r="F35" s="6">
        <f t="shared" ca="1" si="9"/>
        <v>142</v>
      </c>
      <c r="G35" s="6">
        <f t="shared" ca="1" si="10"/>
        <v>9</v>
      </c>
      <c r="H35">
        <f t="shared" ca="1" si="4"/>
        <v>0</v>
      </c>
      <c r="R35">
        <f t="shared" ca="1" si="5"/>
        <v>7</v>
      </c>
      <c r="U35">
        <f t="shared" ca="1" si="6"/>
        <v>6</v>
      </c>
    </row>
    <row r="36" spans="1:21" x14ac:dyDescent="0.3">
      <c r="A36">
        <v>20</v>
      </c>
      <c r="B36" s="1">
        <f t="shared" ca="1" si="2"/>
        <v>9</v>
      </c>
      <c r="C36" s="6">
        <f t="shared" ca="1" si="7"/>
        <v>18</v>
      </c>
      <c r="D36" s="1">
        <f t="shared" ca="1" si="3"/>
        <v>15</v>
      </c>
      <c r="E36" s="6">
        <f t="shared" ca="1" si="8"/>
        <v>15</v>
      </c>
      <c r="F36" s="6">
        <f t="shared" ca="1" si="9"/>
        <v>157</v>
      </c>
      <c r="G36" s="6">
        <f t="shared" ca="1" si="10"/>
        <v>3</v>
      </c>
      <c r="H36">
        <f t="shared" ca="1" si="4"/>
        <v>0</v>
      </c>
      <c r="R36">
        <f t="shared" ca="1" si="5"/>
        <v>9</v>
      </c>
      <c r="U36">
        <f t="shared" ca="1" si="6"/>
        <v>15</v>
      </c>
    </row>
    <row r="37" spans="1:21" x14ac:dyDescent="0.3">
      <c r="A37">
        <v>21</v>
      </c>
      <c r="B37" s="1">
        <f t="shared" ca="1" si="2"/>
        <v>7</v>
      </c>
      <c r="C37" s="6">
        <f t="shared" ca="1" si="7"/>
        <v>10</v>
      </c>
      <c r="D37" s="1">
        <f t="shared" ca="1" si="3"/>
        <v>8</v>
      </c>
      <c r="E37" s="6">
        <f t="shared" ca="1" si="8"/>
        <v>8</v>
      </c>
      <c r="F37" s="6">
        <f t="shared" ca="1" si="9"/>
        <v>165</v>
      </c>
      <c r="G37" s="6">
        <f t="shared" ca="1" si="10"/>
        <v>2</v>
      </c>
      <c r="H37">
        <f t="shared" ca="1" si="4"/>
        <v>0</v>
      </c>
      <c r="R37">
        <f t="shared" ca="1" si="5"/>
        <v>7</v>
      </c>
      <c r="U37">
        <f t="shared" ca="1" si="6"/>
        <v>8</v>
      </c>
    </row>
    <row r="38" spans="1:21" x14ac:dyDescent="0.3">
      <c r="A38">
        <v>22</v>
      </c>
      <c r="B38" s="1">
        <f t="shared" ca="1" si="2"/>
        <v>9</v>
      </c>
      <c r="C38" s="6">
        <f t="shared" ca="1" si="7"/>
        <v>11</v>
      </c>
      <c r="D38" s="1">
        <f t="shared" ca="1" si="3"/>
        <v>10</v>
      </c>
      <c r="E38" s="6">
        <f t="shared" ca="1" si="8"/>
        <v>10</v>
      </c>
      <c r="F38" s="6">
        <f t="shared" ca="1" si="9"/>
        <v>175</v>
      </c>
      <c r="G38" s="6">
        <f t="shared" ca="1" si="10"/>
        <v>1</v>
      </c>
      <c r="H38">
        <f t="shared" ca="1" si="4"/>
        <v>0</v>
      </c>
      <c r="R38">
        <f t="shared" ca="1" si="5"/>
        <v>9</v>
      </c>
      <c r="U38">
        <f t="shared" ca="1" si="6"/>
        <v>10</v>
      </c>
    </row>
    <row r="39" spans="1:21" x14ac:dyDescent="0.3">
      <c r="A39">
        <v>23</v>
      </c>
      <c r="B39" s="1">
        <f t="shared" ca="1" si="2"/>
        <v>7</v>
      </c>
      <c r="C39" s="6">
        <f t="shared" ca="1" si="7"/>
        <v>8</v>
      </c>
      <c r="D39" s="1">
        <f t="shared" ca="1" si="3"/>
        <v>8</v>
      </c>
      <c r="E39" s="6">
        <f t="shared" ca="1" si="8"/>
        <v>8</v>
      </c>
      <c r="F39" s="6">
        <f t="shared" ca="1" si="9"/>
        <v>183</v>
      </c>
      <c r="G39" s="6">
        <f t="shared" ca="1" si="10"/>
        <v>0</v>
      </c>
      <c r="H39">
        <f t="shared" ca="1" si="4"/>
        <v>0</v>
      </c>
      <c r="R39">
        <f t="shared" ca="1" si="5"/>
        <v>7</v>
      </c>
      <c r="U39">
        <f t="shared" ca="1" si="6"/>
        <v>8</v>
      </c>
    </row>
    <row r="40" spans="1:21" x14ac:dyDescent="0.3">
      <c r="A40">
        <v>24</v>
      </c>
      <c r="B40" s="1">
        <f t="shared" ca="1" si="2"/>
        <v>12</v>
      </c>
      <c r="C40" s="6">
        <f t="shared" ca="1" si="7"/>
        <v>12</v>
      </c>
      <c r="D40" s="1">
        <f t="shared" ca="1" si="3"/>
        <v>8</v>
      </c>
      <c r="E40" s="6">
        <f t="shared" ca="1" si="8"/>
        <v>8</v>
      </c>
      <c r="F40" s="6">
        <f t="shared" ca="1" si="9"/>
        <v>191</v>
      </c>
      <c r="G40" s="6">
        <f t="shared" ca="1" si="10"/>
        <v>4</v>
      </c>
      <c r="H40">
        <f t="shared" ca="1" si="4"/>
        <v>0</v>
      </c>
      <c r="R40">
        <f t="shared" ca="1" si="5"/>
        <v>12</v>
      </c>
      <c r="U40">
        <f t="shared" ca="1" si="6"/>
        <v>8</v>
      </c>
    </row>
    <row r="41" spans="1:21" x14ac:dyDescent="0.3">
      <c r="A41">
        <v>25</v>
      </c>
      <c r="B41" s="1">
        <f t="shared" ca="1" si="2"/>
        <v>9</v>
      </c>
      <c r="C41" s="6">
        <f t="shared" ca="1" si="7"/>
        <v>13</v>
      </c>
      <c r="D41" s="1">
        <f t="shared" ca="1" si="3"/>
        <v>15</v>
      </c>
      <c r="E41" s="6">
        <f t="shared" ca="1" si="8"/>
        <v>13</v>
      </c>
      <c r="F41" s="6">
        <f t="shared" ca="1" si="9"/>
        <v>204</v>
      </c>
      <c r="G41" s="6">
        <f t="shared" ca="1" si="10"/>
        <v>0</v>
      </c>
      <c r="H41">
        <f t="shared" ca="1" si="4"/>
        <v>2</v>
      </c>
      <c r="R41">
        <f t="shared" ca="1" si="5"/>
        <v>9</v>
      </c>
      <c r="U41">
        <f t="shared" ca="1" si="6"/>
        <v>15</v>
      </c>
    </row>
    <row r="42" spans="1:21" x14ac:dyDescent="0.3">
      <c r="A42">
        <v>26</v>
      </c>
      <c r="B42" s="1">
        <f t="shared" ca="1" si="2"/>
        <v>5</v>
      </c>
      <c r="C42" s="6">
        <f t="shared" ca="1" si="7"/>
        <v>5</v>
      </c>
      <c r="D42" s="1">
        <f t="shared" ca="1" si="3"/>
        <v>15</v>
      </c>
      <c r="E42" s="6">
        <f t="shared" ca="1" si="8"/>
        <v>5</v>
      </c>
      <c r="F42" s="6">
        <f t="shared" ca="1" si="9"/>
        <v>209</v>
      </c>
      <c r="G42" s="6">
        <f t="shared" ca="1" si="10"/>
        <v>0</v>
      </c>
      <c r="H42">
        <f t="shared" ca="1" si="4"/>
        <v>10</v>
      </c>
      <c r="R42">
        <f t="shared" ca="1" si="5"/>
        <v>5</v>
      </c>
      <c r="U42">
        <f t="shared" ca="1" si="6"/>
        <v>15</v>
      </c>
    </row>
    <row r="43" spans="1:21" x14ac:dyDescent="0.3">
      <c r="A43">
        <v>27</v>
      </c>
      <c r="B43" s="1">
        <f t="shared" ca="1" si="2"/>
        <v>9</v>
      </c>
      <c r="C43" s="6">
        <f t="shared" ca="1" si="7"/>
        <v>9</v>
      </c>
      <c r="D43" s="1">
        <f t="shared" ca="1" si="3"/>
        <v>6</v>
      </c>
      <c r="E43" s="6">
        <f t="shared" ca="1" si="8"/>
        <v>6</v>
      </c>
      <c r="F43" s="6">
        <f t="shared" ca="1" si="9"/>
        <v>215</v>
      </c>
      <c r="G43" s="6">
        <f t="shared" ca="1" si="10"/>
        <v>3</v>
      </c>
      <c r="H43">
        <f t="shared" ca="1" si="4"/>
        <v>0</v>
      </c>
      <c r="R43">
        <f t="shared" ca="1" si="5"/>
        <v>9</v>
      </c>
      <c r="U43">
        <f t="shared" ca="1" si="6"/>
        <v>6</v>
      </c>
    </row>
    <row r="44" spans="1:21" x14ac:dyDescent="0.3">
      <c r="A44">
        <v>28</v>
      </c>
      <c r="B44" s="1">
        <f t="shared" ca="1" si="2"/>
        <v>9</v>
      </c>
      <c r="C44" s="6">
        <f t="shared" ca="1" si="7"/>
        <v>12</v>
      </c>
      <c r="D44" s="1">
        <f t="shared" ca="1" si="3"/>
        <v>6</v>
      </c>
      <c r="E44" s="6">
        <f t="shared" ca="1" si="8"/>
        <v>6</v>
      </c>
      <c r="F44" s="6">
        <f t="shared" ca="1" si="9"/>
        <v>221</v>
      </c>
      <c r="G44" s="6">
        <f t="shared" ca="1" si="10"/>
        <v>6</v>
      </c>
      <c r="H44">
        <f t="shared" ca="1" si="4"/>
        <v>0</v>
      </c>
      <c r="R44">
        <f t="shared" ca="1" si="5"/>
        <v>9</v>
      </c>
      <c r="U44">
        <f t="shared" ca="1" si="6"/>
        <v>6</v>
      </c>
    </row>
    <row r="45" spans="1:21" x14ac:dyDescent="0.3">
      <c r="A45">
        <v>29</v>
      </c>
      <c r="B45" s="1">
        <f t="shared" ca="1" si="2"/>
        <v>5</v>
      </c>
      <c r="C45" s="6">
        <f t="shared" ca="1" si="7"/>
        <v>11</v>
      </c>
      <c r="D45" s="1">
        <f t="shared" ca="1" si="3"/>
        <v>8</v>
      </c>
      <c r="E45" s="6">
        <f t="shared" ca="1" si="8"/>
        <v>8</v>
      </c>
      <c r="F45" s="6">
        <f t="shared" ca="1" si="9"/>
        <v>229</v>
      </c>
      <c r="G45" s="6">
        <f t="shared" ca="1" si="10"/>
        <v>3</v>
      </c>
      <c r="H45">
        <f t="shared" ca="1" si="4"/>
        <v>0</v>
      </c>
      <c r="R45">
        <f t="shared" ca="1" si="5"/>
        <v>5</v>
      </c>
      <c r="U45">
        <f t="shared" ca="1" si="6"/>
        <v>8</v>
      </c>
    </row>
    <row r="46" spans="1:21" x14ac:dyDescent="0.3">
      <c r="A46">
        <v>30</v>
      </c>
      <c r="B46" s="1">
        <f t="shared" ca="1" si="2"/>
        <v>7</v>
      </c>
      <c r="C46" s="6">
        <f t="shared" ca="1" si="7"/>
        <v>10</v>
      </c>
      <c r="D46" s="1">
        <f t="shared" ca="1" si="3"/>
        <v>15</v>
      </c>
      <c r="E46" s="6">
        <f t="shared" ca="1" si="8"/>
        <v>10</v>
      </c>
      <c r="F46" s="6">
        <f t="shared" ca="1" si="9"/>
        <v>239</v>
      </c>
      <c r="G46" s="6">
        <f t="shared" ca="1" si="10"/>
        <v>0</v>
      </c>
      <c r="H46">
        <f t="shared" ca="1" si="4"/>
        <v>5</v>
      </c>
      <c r="R46">
        <f t="shared" ca="1" si="5"/>
        <v>7</v>
      </c>
      <c r="U46">
        <f t="shared" ca="1" si="6"/>
        <v>15</v>
      </c>
    </row>
    <row r="47" spans="1:21" x14ac:dyDescent="0.3">
      <c r="A47">
        <v>31</v>
      </c>
      <c r="B47" s="1">
        <f t="shared" ca="1" si="2"/>
        <v>7</v>
      </c>
      <c r="C47" s="6">
        <f t="shared" ca="1" si="7"/>
        <v>7</v>
      </c>
      <c r="D47" s="1">
        <f t="shared" ca="1" si="3"/>
        <v>6</v>
      </c>
      <c r="E47" s="6">
        <f t="shared" ca="1" si="8"/>
        <v>6</v>
      </c>
      <c r="F47" s="6">
        <f t="shared" ca="1" si="9"/>
        <v>245</v>
      </c>
      <c r="G47" s="6">
        <f t="shared" ca="1" si="10"/>
        <v>1</v>
      </c>
      <c r="H47">
        <f t="shared" ca="1" si="4"/>
        <v>0</v>
      </c>
      <c r="R47">
        <f t="shared" ca="1" si="5"/>
        <v>7</v>
      </c>
      <c r="U47">
        <f t="shared" ca="1" si="6"/>
        <v>6</v>
      </c>
    </row>
    <row r="48" spans="1:21" x14ac:dyDescent="0.3">
      <c r="A48">
        <v>32</v>
      </c>
      <c r="B48" s="1">
        <f t="shared" ca="1" si="2"/>
        <v>7</v>
      </c>
      <c r="C48" s="6">
        <f t="shared" ca="1" si="7"/>
        <v>8</v>
      </c>
      <c r="D48" s="1">
        <f t="shared" ca="1" si="3"/>
        <v>15</v>
      </c>
      <c r="E48" s="6">
        <f t="shared" ca="1" si="8"/>
        <v>8</v>
      </c>
      <c r="F48" s="6">
        <f t="shared" ca="1" si="9"/>
        <v>253</v>
      </c>
      <c r="G48" s="6">
        <f t="shared" ca="1" si="10"/>
        <v>0</v>
      </c>
      <c r="H48">
        <f t="shared" ca="1" si="4"/>
        <v>7</v>
      </c>
      <c r="R48">
        <f t="shared" ca="1" si="5"/>
        <v>7</v>
      </c>
      <c r="U48">
        <f t="shared" ca="1" si="6"/>
        <v>15</v>
      </c>
    </row>
    <row r="49" spans="1:21" x14ac:dyDescent="0.3">
      <c r="A49">
        <v>33</v>
      </c>
      <c r="B49" s="1">
        <f t="shared" ca="1" si="2"/>
        <v>7</v>
      </c>
      <c r="C49" s="6">
        <f t="shared" ca="1" si="7"/>
        <v>7</v>
      </c>
      <c r="D49" s="1">
        <f t="shared" ca="1" si="3"/>
        <v>15</v>
      </c>
      <c r="E49" s="6">
        <f t="shared" ca="1" si="8"/>
        <v>7</v>
      </c>
      <c r="F49" s="6">
        <f t="shared" ca="1" si="9"/>
        <v>260</v>
      </c>
      <c r="G49" s="6">
        <f t="shared" ca="1" si="10"/>
        <v>0</v>
      </c>
      <c r="H49">
        <f t="shared" ca="1" si="4"/>
        <v>8</v>
      </c>
      <c r="R49">
        <f t="shared" ca="1" si="5"/>
        <v>7</v>
      </c>
      <c r="U49">
        <f t="shared" ca="1" si="6"/>
        <v>15</v>
      </c>
    </row>
    <row r="50" spans="1:21" x14ac:dyDescent="0.3">
      <c r="A50">
        <v>34</v>
      </c>
      <c r="B50" s="1">
        <f t="shared" ca="1" si="2"/>
        <v>5</v>
      </c>
      <c r="C50" s="6">
        <f t="shared" ca="1" si="7"/>
        <v>5</v>
      </c>
      <c r="D50" s="1">
        <f t="shared" ca="1" si="3"/>
        <v>15</v>
      </c>
      <c r="E50" s="6">
        <f t="shared" ca="1" si="8"/>
        <v>5</v>
      </c>
      <c r="F50" s="6">
        <f t="shared" ca="1" si="9"/>
        <v>265</v>
      </c>
      <c r="G50" s="6">
        <f t="shared" ca="1" si="10"/>
        <v>0</v>
      </c>
      <c r="H50">
        <f t="shared" ca="1" si="4"/>
        <v>10</v>
      </c>
      <c r="R50">
        <f t="shared" ca="1" si="5"/>
        <v>5</v>
      </c>
      <c r="U50">
        <f t="shared" ca="1" si="6"/>
        <v>15</v>
      </c>
    </row>
    <row r="51" spans="1:21" x14ac:dyDescent="0.3">
      <c r="A51">
        <v>35</v>
      </c>
      <c r="B51" s="1">
        <f t="shared" ca="1" si="2"/>
        <v>7</v>
      </c>
      <c r="C51" s="6">
        <f t="shared" ca="1" si="7"/>
        <v>7</v>
      </c>
      <c r="D51" s="1">
        <f t="shared" ca="1" si="3"/>
        <v>15</v>
      </c>
      <c r="E51" s="6">
        <f t="shared" ca="1" si="8"/>
        <v>7</v>
      </c>
      <c r="F51" s="6">
        <f t="shared" ca="1" si="9"/>
        <v>272</v>
      </c>
      <c r="G51" s="6">
        <f t="shared" ca="1" si="10"/>
        <v>0</v>
      </c>
      <c r="H51">
        <f t="shared" ca="1" si="4"/>
        <v>8</v>
      </c>
      <c r="R51">
        <f t="shared" ca="1" si="5"/>
        <v>7</v>
      </c>
      <c r="U51">
        <f t="shared" ca="1" si="6"/>
        <v>15</v>
      </c>
    </row>
    <row r="52" spans="1:21" x14ac:dyDescent="0.3">
      <c r="A52">
        <v>36</v>
      </c>
      <c r="B52" s="1">
        <f t="shared" ca="1" si="2"/>
        <v>7</v>
      </c>
      <c r="C52" s="6">
        <f t="shared" ca="1" si="7"/>
        <v>7</v>
      </c>
      <c r="D52" s="1">
        <f t="shared" ca="1" si="3"/>
        <v>10</v>
      </c>
      <c r="E52" s="6">
        <f t="shared" ca="1" si="8"/>
        <v>7</v>
      </c>
      <c r="F52" s="6">
        <f t="shared" ca="1" si="9"/>
        <v>279</v>
      </c>
      <c r="G52" s="6">
        <f t="shared" ca="1" si="10"/>
        <v>0</v>
      </c>
      <c r="H52">
        <f t="shared" ca="1" si="4"/>
        <v>3</v>
      </c>
      <c r="R52">
        <f t="shared" ca="1" si="5"/>
        <v>7</v>
      </c>
      <c r="U52">
        <f t="shared" ca="1" si="6"/>
        <v>10</v>
      </c>
    </row>
    <row r="53" spans="1:21" x14ac:dyDescent="0.3">
      <c r="A53">
        <v>37</v>
      </c>
      <c r="B53" s="1">
        <f t="shared" ca="1" si="2"/>
        <v>12</v>
      </c>
      <c r="C53" s="6">
        <f t="shared" ca="1" si="7"/>
        <v>12</v>
      </c>
      <c r="D53" s="1">
        <f t="shared" ca="1" si="3"/>
        <v>10</v>
      </c>
      <c r="E53" s="6">
        <f t="shared" ca="1" si="8"/>
        <v>10</v>
      </c>
      <c r="F53" s="6">
        <f t="shared" ca="1" si="9"/>
        <v>289</v>
      </c>
      <c r="G53" s="6">
        <f t="shared" ca="1" si="10"/>
        <v>2</v>
      </c>
      <c r="H53">
        <f t="shared" ca="1" si="4"/>
        <v>0</v>
      </c>
      <c r="R53">
        <f t="shared" ca="1" si="5"/>
        <v>12</v>
      </c>
      <c r="U53">
        <f t="shared" ca="1" si="6"/>
        <v>10</v>
      </c>
    </row>
    <row r="54" spans="1:21" x14ac:dyDescent="0.3">
      <c r="A54">
        <v>38</v>
      </c>
      <c r="B54" s="1">
        <f t="shared" ca="1" si="2"/>
        <v>7</v>
      </c>
      <c r="C54" s="6">
        <f t="shared" ca="1" si="7"/>
        <v>9</v>
      </c>
      <c r="D54" s="1">
        <f t="shared" ca="1" si="3"/>
        <v>10</v>
      </c>
      <c r="E54" s="6">
        <f t="shared" ca="1" si="8"/>
        <v>9</v>
      </c>
      <c r="F54" s="6">
        <f t="shared" ca="1" si="9"/>
        <v>298</v>
      </c>
      <c r="G54" s="6">
        <f t="shared" ca="1" si="10"/>
        <v>0</v>
      </c>
      <c r="H54">
        <f t="shared" ca="1" si="4"/>
        <v>1</v>
      </c>
      <c r="R54">
        <f t="shared" ca="1" si="5"/>
        <v>7</v>
      </c>
      <c r="U54">
        <f t="shared" ca="1" si="6"/>
        <v>10</v>
      </c>
    </row>
    <row r="55" spans="1:21" x14ac:dyDescent="0.3">
      <c r="A55">
        <v>39</v>
      </c>
      <c r="B55" s="1">
        <f t="shared" ca="1" si="2"/>
        <v>9</v>
      </c>
      <c r="C55" s="6">
        <f t="shared" ca="1" si="7"/>
        <v>9</v>
      </c>
      <c r="D55" s="1">
        <f t="shared" ca="1" si="3"/>
        <v>10</v>
      </c>
      <c r="E55" s="6">
        <f t="shared" ca="1" si="8"/>
        <v>9</v>
      </c>
      <c r="F55" s="6">
        <f t="shared" ca="1" si="9"/>
        <v>307</v>
      </c>
      <c r="G55" s="6">
        <f t="shared" ca="1" si="10"/>
        <v>0</v>
      </c>
      <c r="H55">
        <f t="shared" ca="1" si="4"/>
        <v>1</v>
      </c>
      <c r="R55">
        <f t="shared" ca="1" si="5"/>
        <v>9</v>
      </c>
      <c r="U55">
        <f t="shared" ca="1" si="6"/>
        <v>10</v>
      </c>
    </row>
    <row r="56" spans="1:21" x14ac:dyDescent="0.3">
      <c r="A56">
        <v>40</v>
      </c>
      <c r="B56" s="1">
        <f t="shared" ca="1" si="2"/>
        <v>9</v>
      </c>
      <c r="C56" s="6">
        <f t="shared" ca="1" si="7"/>
        <v>9</v>
      </c>
      <c r="D56" s="1">
        <f t="shared" ca="1" si="3"/>
        <v>6</v>
      </c>
      <c r="E56" s="6">
        <f t="shared" ca="1" si="8"/>
        <v>6</v>
      </c>
      <c r="F56" s="6">
        <f t="shared" ca="1" si="9"/>
        <v>313</v>
      </c>
      <c r="G56" s="6">
        <f t="shared" ca="1" si="10"/>
        <v>3</v>
      </c>
      <c r="H56">
        <f t="shared" ca="1" si="4"/>
        <v>0</v>
      </c>
      <c r="R56">
        <f t="shared" ca="1" si="5"/>
        <v>9</v>
      </c>
      <c r="U56">
        <f t="shared" ca="1" si="6"/>
        <v>6</v>
      </c>
    </row>
    <row r="57" spans="1:21" x14ac:dyDescent="0.3">
      <c r="A57">
        <v>41</v>
      </c>
      <c r="B57" s="1">
        <f t="shared" ca="1" si="2"/>
        <v>7</v>
      </c>
      <c r="C57" s="6">
        <f t="shared" ca="1" si="7"/>
        <v>10</v>
      </c>
      <c r="D57" s="1">
        <f t="shared" ca="1" si="3"/>
        <v>6</v>
      </c>
      <c r="E57" s="6">
        <f t="shared" ca="1" si="8"/>
        <v>6</v>
      </c>
      <c r="F57" s="6">
        <f t="shared" ca="1" si="9"/>
        <v>319</v>
      </c>
      <c r="G57" s="6">
        <f t="shared" ca="1" si="10"/>
        <v>4</v>
      </c>
      <c r="H57">
        <f t="shared" ca="1" si="4"/>
        <v>0</v>
      </c>
      <c r="R57">
        <f t="shared" ca="1" si="5"/>
        <v>7</v>
      </c>
      <c r="U57">
        <f t="shared" ca="1" si="6"/>
        <v>6</v>
      </c>
    </row>
    <row r="58" spans="1:21" x14ac:dyDescent="0.3">
      <c r="A58">
        <v>42</v>
      </c>
      <c r="B58" s="1">
        <f t="shared" ca="1" si="2"/>
        <v>12</v>
      </c>
      <c r="C58" s="6">
        <f t="shared" ca="1" si="7"/>
        <v>16</v>
      </c>
      <c r="D58" s="1">
        <f t="shared" ca="1" si="3"/>
        <v>10</v>
      </c>
      <c r="E58" s="6">
        <f t="shared" ca="1" si="8"/>
        <v>10</v>
      </c>
      <c r="F58" s="6">
        <f t="shared" ca="1" si="9"/>
        <v>329</v>
      </c>
      <c r="G58" s="6">
        <f t="shared" ca="1" si="10"/>
        <v>6</v>
      </c>
      <c r="H58">
        <f t="shared" ca="1" si="4"/>
        <v>0</v>
      </c>
      <c r="R58">
        <f t="shared" ca="1" si="5"/>
        <v>12</v>
      </c>
      <c r="U58">
        <f t="shared" ca="1" si="6"/>
        <v>10</v>
      </c>
    </row>
    <row r="59" spans="1:21" x14ac:dyDescent="0.3">
      <c r="A59">
        <v>43</v>
      </c>
      <c r="B59" s="1">
        <f t="shared" ca="1" si="2"/>
        <v>9</v>
      </c>
      <c r="C59" s="6">
        <f t="shared" ca="1" si="7"/>
        <v>15</v>
      </c>
      <c r="D59" s="1">
        <f t="shared" ca="1" si="3"/>
        <v>10</v>
      </c>
      <c r="E59" s="6">
        <f t="shared" ca="1" si="8"/>
        <v>10</v>
      </c>
      <c r="F59" s="6">
        <f t="shared" ca="1" si="9"/>
        <v>339</v>
      </c>
      <c r="G59" s="6">
        <f t="shared" ca="1" si="10"/>
        <v>5</v>
      </c>
      <c r="H59">
        <f t="shared" ca="1" si="4"/>
        <v>0</v>
      </c>
      <c r="R59">
        <f t="shared" ca="1" si="5"/>
        <v>9</v>
      </c>
      <c r="U59">
        <f t="shared" ca="1" si="6"/>
        <v>10</v>
      </c>
    </row>
    <row r="60" spans="1:21" x14ac:dyDescent="0.3">
      <c r="A60">
        <v>44</v>
      </c>
      <c r="B60" s="1">
        <f t="shared" ca="1" si="2"/>
        <v>12</v>
      </c>
      <c r="C60" s="6">
        <f t="shared" ca="1" si="7"/>
        <v>17</v>
      </c>
      <c r="D60" s="1">
        <f t="shared" ca="1" si="3"/>
        <v>10</v>
      </c>
      <c r="E60" s="6">
        <f t="shared" ca="1" si="8"/>
        <v>10</v>
      </c>
      <c r="F60" s="6">
        <f t="shared" ca="1" si="9"/>
        <v>349</v>
      </c>
      <c r="G60" s="6">
        <f t="shared" ca="1" si="10"/>
        <v>7</v>
      </c>
      <c r="H60">
        <f t="shared" ca="1" si="4"/>
        <v>0</v>
      </c>
      <c r="R60">
        <f t="shared" ca="1" si="5"/>
        <v>12</v>
      </c>
      <c r="U60">
        <f t="shared" ca="1" si="6"/>
        <v>10</v>
      </c>
    </row>
    <row r="61" spans="1:21" x14ac:dyDescent="0.3">
      <c r="A61">
        <v>45</v>
      </c>
      <c r="B61" s="1">
        <f t="shared" ca="1" si="2"/>
        <v>7</v>
      </c>
      <c r="C61" s="6">
        <f t="shared" ca="1" si="7"/>
        <v>14</v>
      </c>
      <c r="D61" s="1">
        <f t="shared" ca="1" si="3"/>
        <v>15</v>
      </c>
      <c r="E61" s="6">
        <f t="shared" ca="1" si="8"/>
        <v>14</v>
      </c>
      <c r="F61" s="6">
        <f t="shared" ca="1" si="9"/>
        <v>363</v>
      </c>
      <c r="G61" s="6">
        <f t="shared" ca="1" si="10"/>
        <v>0</v>
      </c>
      <c r="H61">
        <f t="shared" ca="1" si="4"/>
        <v>1</v>
      </c>
      <c r="R61">
        <f t="shared" ca="1" si="5"/>
        <v>7</v>
      </c>
      <c r="U61">
        <f t="shared" ca="1" si="6"/>
        <v>15</v>
      </c>
    </row>
    <row r="62" spans="1:21" x14ac:dyDescent="0.3">
      <c r="A62">
        <v>46</v>
      </c>
      <c r="B62" s="1">
        <f t="shared" ca="1" si="2"/>
        <v>12</v>
      </c>
      <c r="C62" s="6">
        <f t="shared" ca="1" si="7"/>
        <v>12</v>
      </c>
      <c r="D62" s="1">
        <f t="shared" ca="1" si="3"/>
        <v>8</v>
      </c>
      <c r="E62" s="6">
        <f t="shared" ca="1" si="8"/>
        <v>8</v>
      </c>
      <c r="F62" s="6">
        <f t="shared" ca="1" si="9"/>
        <v>371</v>
      </c>
      <c r="G62" s="6">
        <f t="shared" ca="1" si="10"/>
        <v>4</v>
      </c>
      <c r="H62">
        <f t="shared" ca="1" si="4"/>
        <v>0</v>
      </c>
      <c r="R62">
        <f t="shared" ca="1" si="5"/>
        <v>12</v>
      </c>
      <c r="U62">
        <f t="shared" ca="1" si="6"/>
        <v>8</v>
      </c>
    </row>
    <row r="63" spans="1:21" x14ac:dyDescent="0.3">
      <c r="A63">
        <v>47</v>
      </c>
      <c r="B63" s="1">
        <f t="shared" ca="1" si="2"/>
        <v>9</v>
      </c>
      <c r="C63" s="6">
        <f t="shared" ca="1" si="7"/>
        <v>13</v>
      </c>
      <c r="D63" s="1">
        <f t="shared" ca="1" si="3"/>
        <v>15</v>
      </c>
      <c r="E63" s="6">
        <f t="shared" ca="1" si="8"/>
        <v>13</v>
      </c>
      <c r="F63" s="6">
        <f t="shared" ca="1" si="9"/>
        <v>384</v>
      </c>
      <c r="G63" s="6">
        <f t="shared" ca="1" si="10"/>
        <v>0</v>
      </c>
      <c r="H63">
        <f t="shared" ca="1" si="4"/>
        <v>2</v>
      </c>
      <c r="R63">
        <f t="shared" ca="1" si="5"/>
        <v>9</v>
      </c>
      <c r="U63">
        <f t="shared" ca="1" si="6"/>
        <v>15</v>
      </c>
    </row>
    <row r="64" spans="1:21" x14ac:dyDescent="0.3">
      <c r="A64">
        <v>48</v>
      </c>
      <c r="B64" s="1">
        <f t="shared" ca="1" si="2"/>
        <v>7</v>
      </c>
      <c r="C64" s="6">
        <f t="shared" ca="1" si="7"/>
        <v>7</v>
      </c>
      <c r="D64" s="1">
        <f t="shared" ca="1" si="3"/>
        <v>15</v>
      </c>
      <c r="E64" s="6">
        <f t="shared" ca="1" si="8"/>
        <v>7</v>
      </c>
      <c r="F64" s="6">
        <f t="shared" ca="1" si="9"/>
        <v>391</v>
      </c>
      <c r="G64" s="6">
        <f t="shared" ca="1" si="10"/>
        <v>0</v>
      </c>
      <c r="H64">
        <f t="shared" ca="1" si="4"/>
        <v>8</v>
      </c>
      <c r="R64">
        <f t="shared" ca="1" si="5"/>
        <v>7</v>
      </c>
      <c r="U64">
        <f t="shared" ca="1" si="6"/>
        <v>15</v>
      </c>
    </row>
    <row r="65" spans="1:21" x14ac:dyDescent="0.3">
      <c r="A65">
        <v>49</v>
      </c>
      <c r="B65" s="1">
        <f t="shared" ca="1" si="2"/>
        <v>7</v>
      </c>
      <c r="C65" s="6">
        <f t="shared" ca="1" si="7"/>
        <v>7</v>
      </c>
      <c r="D65" s="1">
        <f t="shared" ca="1" si="3"/>
        <v>8</v>
      </c>
      <c r="E65" s="6">
        <f t="shared" ca="1" si="8"/>
        <v>7</v>
      </c>
      <c r="F65" s="6">
        <f t="shared" ca="1" si="9"/>
        <v>398</v>
      </c>
      <c r="G65" s="6">
        <f t="shared" ca="1" si="10"/>
        <v>0</v>
      </c>
      <c r="H65">
        <f t="shared" ca="1" si="4"/>
        <v>1</v>
      </c>
      <c r="R65">
        <f t="shared" ca="1" si="5"/>
        <v>7</v>
      </c>
      <c r="U65">
        <f t="shared" ca="1" si="6"/>
        <v>8</v>
      </c>
    </row>
    <row r="66" spans="1:21" x14ac:dyDescent="0.3">
      <c r="A66">
        <v>50</v>
      </c>
      <c r="B66" s="1">
        <f t="shared" ca="1" si="2"/>
        <v>7</v>
      </c>
      <c r="C66" s="6">
        <f t="shared" ca="1" si="7"/>
        <v>7</v>
      </c>
      <c r="D66" s="1">
        <f t="shared" ca="1" si="3"/>
        <v>10</v>
      </c>
      <c r="E66" s="6">
        <f t="shared" ca="1" si="8"/>
        <v>7</v>
      </c>
      <c r="F66" s="6">
        <f t="shared" ca="1" si="9"/>
        <v>405</v>
      </c>
      <c r="G66" s="6">
        <f t="shared" ca="1" si="10"/>
        <v>0</v>
      </c>
      <c r="H66">
        <f t="shared" ca="1" si="4"/>
        <v>3</v>
      </c>
      <c r="R66">
        <f t="shared" ca="1" si="5"/>
        <v>7</v>
      </c>
      <c r="U66">
        <f t="shared" ca="1" si="6"/>
        <v>10</v>
      </c>
    </row>
    <row r="67" spans="1:21" x14ac:dyDescent="0.3">
      <c r="A67">
        <v>51</v>
      </c>
      <c r="B67" s="1">
        <f t="shared" ca="1" si="2"/>
        <v>7</v>
      </c>
      <c r="C67" s="6">
        <f t="shared" ca="1" si="7"/>
        <v>7</v>
      </c>
      <c r="D67" s="1">
        <f t="shared" ca="1" si="3"/>
        <v>10</v>
      </c>
      <c r="E67" s="6">
        <f t="shared" ca="1" si="8"/>
        <v>7</v>
      </c>
      <c r="F67" s="6">
        <f t="shared" ca="1" si="9"/>
        <v>412</v>
      </c>
      <c r="G67" s="6">
        <f t="shared" ca="1" si="10"/>
        <v>0</v>
      </c>
      <c r="H67">
        <f t="shared" ca="1" si="4"/>
        <v>3</v>
      </c>
      <c r="R67">
        <f t="shared" ca="1" si="5"/>
        <v>7</v>
      </c>
      <c r="U67">
        <f t="shared" ca="1" si="6"/>
        <v>10</v>
      </c>
    </row>
    <row r="68" spans="1:21" x14ac:dyDescent="0.3">
      <c r="A68">
        <v>52</v>
      </c>
      <c r="B68" s="1">
        <f t="shared" ca="1" si="2"/>
        <v>12</v>
      </c>
      <c r="C68" s="6">
        <f t="shared" ca="1" si="7"/>
        <v>12</v>
      </c>
      <c r="D68" s="1">
        <f t="shared" ca="1" si="3"/>
        <v>10</v>
      </c>
      <c r="E68" s="6">
        <f t="shared" ca="1" si="8"/>
        <v>10</v>
      </c>
      <c r="F68" s="6">
        <f t="shared" ca="1" si="9"/>
        <v>422</v>
      </c>
      <c r="G68" s="6">
        <f t="shared" ca="1" si="10"/>
        <v>2</v>
      </c>
      <c r="H68">
        <f t="shared" ca="1" si="4"/>
        <v>0</v>
      </c>
      <c r="R68">
        <f t="shared" ca="1" si="5"/>
        <v>12</v>
      </c>
      <c r="U68">
        <f t="shared" ca="1" si="6"/>
        <v>10</v>
      </c>
    </row>
    <row r="69" spans="1:21" x14ac:dyDescent="0.3">
      <c r="A69">
        <v>53</v>
      </c>
      <c r="B69" s="1">
        <f t="shared" ca="1" si="2"/>
        <v>5</v>
      </c>
      <c r="C69" s="6">
        <f t="shared" ca="1" si="7"/>
        <v>7</v>
      </c>
      <c r="D69" s="1">
        <f t="shared" ca="1" si="3"/>
        <v>10</v>
      </c>
      <c r="E69" s="6">
        <f t="shared" ca="1" si="8"/>
        <v>7</v>
      </c>
      <c r="F69" s="6">
        <f t="shared" ca="1" si="9"/>
        <v>429</v>
      </c>
      <c r="G69" s="6">
        <f t="shared" ca="1" si="10"/>
        <v>0</v>
      </c>
      <c r="H69">
        <f t="shared" ca="1" si="4"/>
        <v>3</v>
      </c>
      <c r="R69">
        <f t="shared" ca="1" si="5"/>
        <v>5</v>
      </c>
      <c r="U69">
        <f t="shared" ca="1" si="6"/>
        <v>10</v>
      </c>
    </row>
    <row r="70" spans="1:21" x14ac:dyDescent="0.3">
      <c r="A70">
        <v>54</v>
      </c>
      <c r="B70" s="1">
        <f t="shared" ca="1" si="2"/>
        <v>9</v>
      </c>
      <c r="C70" s="6">
        <f t="shared" ca="1" si="7"/>
        <v>9</v>
      </c>
      <c r="D70" s="1">
        <f t="shared" ca="1" si="3"/>
        <v>6</v>
      </c>
      <c r="E70" s="6">
        <f t="shared" ca="1" si="8"/>
        <v>6</v>
      </c>
      <c r="F70" s="6">
        <f t="shared" ca="1" si="9"/>
        <v>435</v>
      </c>
      <c r="G70" s="6">
        <f t="shared" ca="1" si="10"/>
        <v>3</v>
      </c>
      <c r="H70">
        <f t="shared" ca="1" si="4"/>
        <v>0</v>
      </c>
      <c r="R70">
        <f t="shared" ca="1" si="5"/>
        <v>9</v>
      </c>
      <c r="U70">
        <f t="shared" ca="1" si="6"/>
        <v>6</v>
      </c>
    </row>
    <row r="71" spans="1:21" x14ac:dyDescent="0.3">
      <c r="A71">
        <v>55</v>
      </c>
      <c r="B71" s="1">
        <f t="shared" ca="1" si="2"/>
        <v>9</v>
      </c>
      <c r="C71" s="6">
        <f t="shared" ca="1" si="7"/>
        <v>12</v>
      </c>
      <c r="D71" s="1">
        <f t="shared" ca="1" si="3"/>
        <v>10</v>
      </c>
      <c r="E71" s="6">
        <f t="shared" ca="1" si="8"/>
        <v>10</v>
      </c>
      <c r="F71" s="6">
        <f t="shared" ca="1" si="9"/>
        <v>445</v>
      </c>
      <c r="G71" s="6">
        <f t="shared" ca="1" si="10"/>
        <v>2</v>
      </c>
      <c r="H71">
        <f t="shared" ca="1" si="4"/>
        <v>0</v>
      </c>
      <c r="R71">
        <f t="shared" ca="1" si="5"/>
        <v>9</v>
      </c>
      <c r="U71">
        <f t="shared" ca="1" si="6"/>
        <v>10</v>
      </c>
    </row>
    <row r="72" spans="1:21" x14ac:dyDescent="0.3">
      <c r="A72">
        <v>56</v>
      </c>
      <c r="B72" s="1">
        <f t="shared" ca="1" si="2"/>
        <v>9</v>
      </c>
      <c r="C72" s="6">
        <f t="shared" ca="1" si="7"/>
        <v>11</v>
      </c>
      <c r="D72" s="1">
        <f t="shared" ca="1" si="3"/>
        <v>10</v>
      </c>
      <c r="E72" s="6">
        <f t="shared" ca="1" si="8"/>
        <v>10</v>
      </c>
      <c r="F72" s="6">
        <f t="shared" ca="1" si="9"/>
        <v>455</v>
      </c>
      <c r="G72" s="6">
        <f t="shared" ca="1" si="10"/>
        <v>1</v>
      </c>
      <c r="H72">
        <f t="shared" ca="1" si="4"/>
        <v>0</v>
      </c>
      <c r="R72">
        <f t="shared" ca="1" si="5"/>
        <v>9</v>
      </c>
      <c r="U72">
        <f t="shared" ca="1" si="6"/>
        <v>10</v>
      </c>
    </row>
    <row r="73" spans="1:21" x14ac:dyDescent="0.3">
      <c r="A73">
        <v>57</v>
      </c>
      <c r="B73" s="1">
        <f t="shared" ca="1" si="2"/>
        <v>5</v>
      </c>
      <c r="C73" s="6">
        <f t="shared" ca="1" si="7"/>
        <v>6</v>
      </c>
      <c r="D73" s="1">
        <f t="shared" ca="1" si="3"/>
        <v>10</v>
      </c>
      <c r="E73" s="6">
        <f t="shared" ca="1" si="8"/>
        <v>6</v>
      </c>
      <c r="F73" s="6">
        <f t="shared" ca="1" si="9"/>
        <v>461</v>
      </c>
      <c r="G73" s="6">
        <f t="shared" ca="1" si="10"/>
        <v>0</v>
      </c>
      <c r="H73">
        <f t="shared" ca="1" si="4"/>
        <v>4</v>
      </c>
      <c r="R73">
        <f t="shared" ca="1" si="5"/>
        <v>5</v>
      </c>
      <c r="U73">
        <f t="shared" ca="1" si="6"/>
        <v>10</v>
      </c>
    </row>
    <row r="74" spans="1:21" x14ac:dyDescent="0.3">
      <c r="A74">
        <v>58</v>
      </c>
      <c r="B74" s="1">
        <f t="shared" ca="1" si="2"/>
        <v>12</v>
      </c>
      <c r="C74" s="6">
        <f t="shared" ca="1" si="7"/>
        <v>12</v>
      </c>
      <c r="D74" s="1">
        <f t="shared" ca="1" si="3"/>
        <v>10</v>
      </c>
      <c r="E74" s="6">
        <f t="shared" ca="1" si="8"/>
        <v>10</v>
      </c>
      <c r="F74" s="6">
        <f t="shared" ca="1" si="9"/>
        <v>471</v>
      </c>
      <c r="G74" s="6">
        <f t="shared" ca="1" si="10"/>
        <v>2</v>
      </c>
      <c r="H74">
        <f t="shared" ca="1" si="4"/>
        <v>0</v>
      </c>
      <c r="R74">
        <f t="shared" ca="1" si="5"/>
        <v>12</v>
      </c>
      <c r="U74">
        <f t="shared" ca="1" si="6"/>
        <v>10</v>
      </c>
    </row>
    <row r="75" spans="1:21" x14ac:dyDescent="0.3">
      <c r="A75">
        <v>59</v>
      </c>
      <c r="B75" s="1">
        <f t="shared" ca="1" si="2"/>
        <v>12</v>
      </c>
      <c r="C75" s="6">
        <f t="shared" ca="1" si="7"/>
        <v>14</v>
      </c>
      <c r="D75" s="1">
        <f t="shared" ca="1" si="3"/>
        <v>6</v>
      </c>
      <c r="E75" s="6">
        <f t="shared" ca="1" si="8"/>
        <v>6</v>
      </c>
      <c r="F75" s="6">
        <f t="shared" ca="1" si="9"/>
        <v>477</v>
      </c>
      <c r="G75" s="6">
        <f t="shared" ca="1" si="10"/>
        <v>8</v>
      </c>
      <c r="H75">
        <f t="shared" ca="1" si="4"/>
        <v>0</v>
      </c>
      <c r="R75">
        <f t="shared" ca="1" si="5"/>
        <v>12</v>
      </c>
      <c r="U75">
        <f t="shared" ca="1" si="6"/>
        <v>6</v>
      </c>
    </row>
    <row r="76" spans="1:21" x14ac:dyDescent="0.3">
      <c r="A76">
        <v>60</v>
      </c>
      <c r="B76" s="1">
        <f t="shared" ca="1" si="2"/>
        <v>7</v>
      </c>
      <c r="C76" s="6">
        <f t="shared" ca="1" si="7"/>
        <v>15</v>
      </c>
      <c r="D76" s="1">
        <f t="shared" ca="1" si="3"/>
        <v>10</v>
      </c>
      <c r="E76" s="6">
        <f t="shared" ca="1" si="8"/>
        <v>10</v>
      </c>
      <c r="F76" s="6">
        <f t="shared" ca="1" si="9"/>
        <v>487</v>
      </c>
      <c r="G76" s="6">
        <f t="shared" ca="1" si="10"/>
        <v>5</v>
      </c>
      <c r="H76">
        <f t="shared" ca="1" si="4"/>
        <v>0</v>
      </c>
      <c r="R76">
        <f t="shared" ca="1" si="5"/>
        <v>7</v>
      </c>
      <c r="U76">
        <f t="shared" ca="1" si="6"/>
        <v>10</v>
      </c>
    </row>
    <row r="77" spans="1:21" x14ac:dyDescent="0.3">
      <c r="A77">
        <v>61</v>
      </c>
      <c r="B77" s="1">
        <f t="shared" ca="1" si="2"/>
        <v>9</v>
      </c>
      <c r="C77" s="6">
        <f t="shared" ca="1" si="7"/>
        <v>14</v>
      </c>
      <c r="D77" s="1">
        <f t="shared" ca="1" si="3"/>
        <v>10</v>
      </c>
      <c r="E77" s="6">
        <f t="shared" ca="1" si="8"/>
        <v>10</v>
      </c>
      <c r="F77" s="6">
        <f t="shared" ca="1" si="9"/>
        <v>497</v>
      </c>
      <c r="G77" s="6">
        <f t="shared" ca="1" si="10"/>
        <v>4</v>
      </c>
      <c r="H77">
        <f t="shared" ca="1" si="4"/>
        <v>0</v>
      </c>
      <c r="R77">
        <f t="shared" ca="1" si="5"/>
        <v>9</v>
      </c>
      <c r="U77">
        <f t="shared" ca="1" si="6"/>
        <v>10</v>
      </c>
    </row>
    <row r="78" spans="1:21" x14ac:dyDescent="0.3">
      <c r="A78">
        <v>62</v>
      </c>
      <c r="B78" s="1">
        <f t="shared" ca="1" si="2"/>
        <v>7</v>
      </c>
      <c r="C78" s="6">
        <f t="shared" ca="1" si="7"/>
        <v>11</v>
      </c>
      <c r="D78" s="1">
        <f t="shared" ca="1" si="3"/>
        <v>15</v>
      </c>
      <c r="E78" s="6">
        <f t="shared" ca="1" si="8"/>
        <v>11</v>
      </c>
      <c r="F78" s="6">
        <f t="shared" ca="1" si="9"/>
        <v>508</v>
      </c>
      <c r="G78" s="6">
        <f t="shared" ca="1" si="10"/>
        <v>0</v>
      </c>
      <c r="H78">
        <f t="shared" ca="1" si="4"/>
        <v>4</v>
      </c>
      <c r="R78">
        <f t="shared" ca="1" si="5"/>
        <v>7</v>
      </c>
      <c r="U78">
        <f t="shared" ca="1" si="6"/>
        <v>15</v>
      </c>
    </row>
    <row r="79" spans="1:21" x14ac:dyDescent="0.3">
      <c r="A79">
        <v>63</v>
      </c>
      <c r="B79" s="1">
        <f t="shared" ca="1" si="2"/>
        <v>12</v>
      </c>
      <c r="C79" s="6">
        <f t="shared" ca="1" si="7"/>
        <v>12</v>
      </c>
      <c r="D79" s="1">
        <f t="shared" ca="1" si="3"/>
        <v>6</v>
      </c>
      <c r="E79" s="6">
        <f t="shared" ca="1" si="8"/>
        <v>6</v>
      </c>
      <c r="F79" s="6">
        <f t="shared" ca="1" si="9"/>
        <v>514</v>
      </c>
      <c r="G79" s="6">
        <f t="shared" ca="1" si="10"/>
        <v>6</v>
      </c>
      <c r="H79">
        <f t="shared" ca="1" si="4"/>
        <v>0</v>
      </c>
      <c r="R79">
        <f t="shared" ca="1" si="5"/>
        <v>12</v>
      </c>
      <c r="U79">
        <f t="shared" ca="1" si="6"/>
        <v>6</v>
      </c>
    </row>
    <row r="80" spans="1:21" x14ac:dyDescent="0.3">
      <c r="A80">
        <v>64</v>
      </c>
      <c r="B80" s="1">
        <f t="shared" ca="1" si="2"/>
        <v>7</v>
      </c>
      <c r="C80" s="6">
        <f t="shared" ca="1" si="7"/>
        <v>13</v>
      </c>
      <c r="D80" s="1">
        <f t="shared" ca="1" si="3"/>
        <v>10</v>
      </c>
      <c r="E80" s="6">
        <f t="shared" ca="1" si="8"/>
        <v>10</v>
      </c>
      <c r="F80" s="6">
        <f t="shared" ca="1" si="9"/>
        <v>524</v>
      </c>
      <c r="G80" s="6">
        <f t="shared" ca="1" si="10"/>
        <v>3</v>
      </c>
      <c r="H80">
        <f t="shared" ca="1" si="4"/>
        <v>0</v>
      </c>
      <c r="R80">
        <f t="shared" ca="1" si="5"/>
        <v>7</v>
      </c>
      <c r="U80">
        <f t="shared" ca="1" si="6"/>
        <v>10</v>
      </c>
    </row>
    <row r="81" spans="1:21" x14ac:dyDescent="0.3">
      <c r="A81">
        <v>65</v>
      </c>
      <c r="B81" s="1">
        <f t="shared" ca="1" si="2"/>
        <v>7</v>
      </c>
      <c r="C81" s="6">
        <f t="shared" ca="1" si="7"/>
        <v>10</v>
      </c>
      <c r="D81" s="1">
        <f t="shared" ca="1" si="3"/>
        <v>6</v>
      </c>
      <c r="E81" s="6">
        <f t="shared" ca="1" si="8"/>
        <v>6</v>
      </c>
      <c r="F81" s="6">
        <f t="shared" ca="1" si="9"/>
        <v>530</v>
      </c>
      <c r="G81" s="6">
        <f t="shared" ca="1" si="10"/>
        <v>4</v>
      </c>
      <c r="H81">
        <f t="shared" ca="1" si="4"/>
        <v>0</v>
      </c>
      <c r="R81">
        <f t="shared" ca="1" si="5"/>
        <v>7</v>
      </c>
      <c r="U81">
        <f t="shared" ca="1" si="6"/>
        <v>6</v>
      </c>
    </row>
    <row r="82" spans="1:21" x14ac:dyDescent="0.3">
      <c r="A82">
        <v>66</v>
      </c>
      <c r="B82" s="1">
        <f t="shared" ref="B82:B145" ca="1" si="11">R82</f>
        <v>9</v>
      </c>
      <c r="C82" s="6">
        <f t="shared" ca="1" si="7"/>
        <v>13</v>
      </c>
      <c r="D82" s="1">
        <f t="shared" ref="D82:D145" ca="1" si="12">U82</f>
        <v>10</v>
      </c>
      <c r="E82" s="6">
        <f t="shared" ca="1" si="8"/>
        <v>10</v>
      </c>
      <c r="F82" s="6">
        <f t="shared" ca="1" si="9"/>
        <v>540</v>
      </c>
      <c r="G82" s="6">
        <f t="shared" ca="1" si="10"/>
        <v>3</v>
      </c>
      <c r="H82">
        <f t="shared" ref="H82:H145" ca="1" si="13">MAX(D82-C82,0)</f>
        <v>0</v>
      </c>
      <c r="R82">
        <f t="shared" ref="R82:R145" ca="1" si="14">VLOOKUP(RAND(),$Q$3:$R$6,2,TRUE)</f>
        <v>9</v>
      </c>
      <c r="U82">
        <f t="shared" ref="U82:U145" ca="1" si="15">VLOOKUP(RAND(),$T$3:$U$9,2,TRUE)</f>
        <v>10</v>
      </c>
    </row>
    <row r="83" spans="1:21" x14ac:dyDescent="0.3">
      <c r="A83">
        <v>67</v>
      </c>
      <c r="B83" s="1">
        <f t="shared" ca="1" si="11"/>
        <v>5</v>
      </c>
      <c r="C83" s="6">
        <f t="shared" ref="C83:C146" ca="1" si="16">G82+B83</f>
        <v>8</v>
      </c>
      <c r="D83" s="1">
        <f t="shared" ca="1" si="12"/>
        <v>10</v>
      </c>
      <c r="E83" s="6">
        <f t="shared" ref="E83:E146" ca="1" si="17">MIN(C83,D83)</f>
        <v>8</v>
      </c>
      <c r="F83" s="6">
        <f t="shared" ref="F83:F146" ca="1" si="18">F82+E83</f>
        <v>548</v>
      </c>
      <c r="G83" s="6">
        <f t="shared" ref="G83:G146" ca="1" si="19">C83-E83</f>
        <v>0</v>
      </c>
      <c r="H83">
        <f t="shared" ca="1" si="13"/>
        <v>2</v>
      </c>
      <c r="R83">
        <f t="shared" ca="1" si="14"/>
        <v>5</v>
      </c>
      <c r="U83">
        <f t="shared" ca="1" si="15"/>
        <v>10</v>
      </c>
    </row>
    <row r="84" spans="1:21" x14ac:dyDescent="0.3">
      <c r="A84">
        <v>68</v>
      </c>
      <c r="B84" s="1">
        <f t="shared" ca="1" si="11"/>
        <v>9</v>
      </c>
      <c r="C84" s="6">
        <f t="shared" ca="1" si="16"/>
        <v>9</v>
      </c>
      <c r="D84" s="1">
        <f t="shared" ca="1" si="12"/>
        <v>10</v>
      </c>
      <c r="E84" s="6">
        <f t="shared" ca="1" si="17"/>
        <v>9</v>
      </c>
      <c r="F84" s="6">
        <f t="shared" ca="1" si="18"/>
        <v>557</v>
      </c>
      <c r="G84" s="6">
        <f t="shared" ca="1" si="19"/>
        <v>0</v>
      </c>
      <c r="H84">
        <f t="shared" ca="1" si="13"/>
        <v>1</v>
      </c>
      <c r="R84">
        <f t="shared" ca="1" si="14"/>
        <v>9</v>
      </c>
      <c r="U84">
        <f t="shared" ca="1" si="15"/>
        <v>10</v>
      </c>
    </row>
    <row r="85" spans="1:21" x14ac:dyDescent="0.3">
      <c r="A85">
        <v>69</v>
      </c>
      <c r="B85" s="1">
        <f t="shared" ca="1" si="11"/>
        <v>9</v>
      </c>
      <c r="C85" s="6">
        <f t="shared" ca="1" si="16"/>
        <v>9</v>
      </c>
      <c r="D85" s="1">
        <f t="shared" ca="1" si="12"/>
        <v>15</v>
      </c>
      <c r="E85" s="6">
        <f t="shared" ca="1" si="17"/>
        <v>9</v>
      </c>
      <c r="F85" s="6">
        <f t="shared" ca="1" si="18"/>
        <v>566</v>
      </c>
      <c r="G85" s="6">
        <f t="shared" ca="1" si="19"/>
        <v>0</v>
      </c>
      <c r="H85">
        <f t="shared" ca="1" si="13"/>
        <v>6</v>
      </c>
      <c r="R85">
        <f t="shared" ca="1" si="14"/>
        <v>9</v>
      </c>
      <c r="U85">
        <f t="shared" ca="1" si="15"/>
        <v>15</v>
      </c>
    </row>
    <row r="86" spans="1:21" x14ac:dyDescent="0.3">
      <c r="A86">
        <v>70</v>
      </c>
      <c r="B86" s="1">
        <f t="shared" ca="1" si="11"/>
        <v>12</v>
      </c>
      <c r="C86" s="6">
        <f t="shared" ca="1" si="16"/>
        <v>12</v>
      </c>
      <c r="D86" s="1">
        <f t="shared" ca="1" si="12"/>
        <v>15</v>
      </c>
      <c r="E86" s="6">
        <f t="shared" ca="1" si="17"/>
        <v>12</v>
      </c>
      <c r="F86" s="6">
        <f t="shared" ca="1" si="18"/>
        <v>578</v>
      </c>
      <c r="G86" s="6">
        <f t="shared" ca="1" si="19"/>
        <v>0</v>
      </c>
      <c r="H86">
        <f t="shared" ca="1" si="13"/>
        <v>3</v>
      </c>
      <c r="R86">
        <f t="shared" ca="1" si="14"/>
        <v>12</v>
      </c>
      <c r="U86">
        <f t="shared" ca="1" si="15"/>
        <v>15</v>
      </c>
    </row>
    <row r="87" spans="1:21" x14ac:dyDescent="0.3">
      <c r="A87">
        <v>71</v>
      </c>
      <c r="B87" s="1">
        <f t="shared" ca="1" si="11"/>
        <v>9</v>
      </c>
      <c r="C87" s="6">
        <f t="shared" ca="1" si="16"/>
        <v>9</v>
      </c>
      <c r="D87" s="1">
        <f t="shared" ca="1" si="12"/>
        <v>15</v>
      </c>
      <c r="E87" s="6">
        <f t="shared" ca="1" si="17"/>
        <v>9</v>
      </c>
      <c r="F87" s="6">
        <f t="shared" ca="1" si="18"/>
        <v>587</v>
      </c>
      <c r="G87" s="6">
        <f t="shared" ca="1" si="19"/>
        <v>0</v>
      </c>
      <c r="H87">
        <f t="shared" ca="1" si="13"/>
        <v>6</v>
      </c>
      <c r="R87">
        <f t="shared" ca="1" si="14"/>
        <v>9</v>
      </c>
      <c r="U87">
        <f t="shared" ca="1" si="15"/>
        <v>15</v>
      </c>
    </row>
    <row r="88" spans="1:21" x14ac:dyDescent="0.3">
      <c r="A88">
        <v>72</v>
      </c>
      <c r="B88" s="1">
        <f t="shared" ca="1" si="11"/>
        <v>9</v>
      </c>
      <c r="C88" s="6">
        <f t="shared" ca="1" si="16"/>
        <v>9</v>
      </c>
      <c r="D88" s="1">
        <f t="shared" ca="1" si="12"/>
        <v>10</v>
      </c>
      <c r="E88" s="6">
        <f t="shared" ca="1" si="17"/>
        <v>9</v>
      </c>
      <c r="F88" s="6">
        <f t="shared" ca="1" si="18"/>
        <v>596</v>
      </c>
      <c r="G88" s="6">
        <f t="shared" ca="1" si="19"/>
        <v>0</v>
      </c>
      <c r="H88">
        <f t="shared" ca="1" si="13"/>
        <v>1</v>
      </c>
      <c r="R88">
        <f t="shared" ca="1" si="14"/>
        <v>9</v>
      </c>
      <c r="U88">
        <f t="shared" ca="1" si="15"/>
        <v>10</v>
      </c>
    </row>
    <row r="89" spans="1:21" x14ac:dyDescent="0.3">
      <c r="A89">
        <v>73</v>
      </c>
      <c r="B89" s="1">
        <f t="shared" ca="1" si="11"/>
        <v>5</v>
      </c>
      <c r="C89" s="6">
        <f t="shared" ca="1" si="16"/>
        <v>5</v>
      </c>
      <c r="D89" s="1">
        <f t="shared" ca="1" si="12"/>
        <v>10</v>
      </c>
      <c r="E89" s="6">
        <f t="shared" ca="1" si="17"/>
        <v>5</v>
      </c>
      <c r="F89" s="6">
        <f t="shared" ca="1" si="18"/>
        <v>601</v>
      </c>
      <c r="G89" s="6">
        <f t="shared" ca="1" si="19"/>
        <v>0</v>
      </c>
      <c r="H89">
        <f t="shared" ca="1" si="13"/>
        <v>5</v>
      </c>
      <c r="R89">
        <f t="shared" ca="1" si="14"/>
        <v>5</v>
      </c>
      <c r="U89">
        <f t="shared" ca="1" si="15"/>
        <v>10</v>
      </c>
    </row>
    <row r="90" spans="1:21" x14ac:dyDescent="0.3">
      <c r="A90">
        <v>74</v>
      </c>
      <c r="B90" s="1">
        <f t="shared" ca="1" si="11"/>
        <v>9</v>
      </c>
      <c r="C90" s="6">
        <f t="shared" ca="1" si="16"/>
        <v>9</v>
      </c>
      <c r="D90" s="1">
        <f t="shared" ca="1" si="12"/>
        <v>6</v>
      </c>
      <c r="E90" s="6">
        <f t="shared" ca="1" si="17"/>
        <v>6</v>
      </c>
      <c r="F90" s="6">
        <f t="shared" ca="1" si="18"/>
        <v>607</v>
      </c>
      <c r="G90" s="6">
        <f t="shared" ca="1" si="19"/>
        <v>3</v>
      </c>
      <c r="H90">
        <f t="shared" ca="1" si="13"/>
        <v>0</v>
      </c>
      <c r="R90">
        <f t="shared" ca="1" si="14"/>
        <v>9</v>
      </c>
      <c r="U90">
        <f t="shared" ca="1" si="15"/>
        <v>6</v>
      </c>
    </row>
    <row r="91" spans="1:21" x14ac:dyDescent="0.3">
      <c r="A91">
        <v>75</v>
      </c>
      <c r="B91" s="1">
        <f t="shared" ca="1" si="11"/>
        <v>7</v>
      </c>
      <c r="C91" s="6">
        <f t="shared" ca="1" si="16"/>
        <v>10</v>
      </c>
      <c r="D91" s="1">
        <f t="shared" ca="1" si="12"/>
        <v>10</v>
      </c>
      <c r="E91" s="6">
        <f t="shared" ca="1" si="17"/>
        <v>10</v>
      </c>
      <c r="F91" s="6">
        <f t="shared" ca="1" si="18"/>
        <v>617</v>
      </c>
      <c r="G91" s="6">
        <f t="shared" ca="1" si="19"/>
        <v>0</v>
      </c>
      <c r="H91">
        <f t="shared" ca="1" si="13"/>
        <v>0</v>
      </c>
      <c r="R91">
        <f t="shared" ca="1" si="14"/>
        <v>7</v>
      </c>
      <c r="U91">
        <f t="shared" ca="1" si="15"/>
        <v>10</v>
      </c>
    </row>
    <row r="92" spans="1:21" x14ac:dyDescent="0.3">
      <c r="A92">
        <v>76</v>
      </c>
      <c r="B92" s="1">
        <f t="shared" ca="1" si="11"/>
        <v>12</v>
      </c>
      <c r="C92" s="6">
        <f t="shared" ca="1" si="16"/>
        <v>12</v>
      </c>
      <c r="D92" s="1">
        <f t="shared" ca="1" si="12"/>
        <v>15</v>
      </c>
      <c r="E92" s="6">
        <f t="shared" ca="1" si="17"/>
        <v>12</v>
      </c>
      <c r="F92" s="6">
        <f t="shared" ca="1" si="18"/>
        <v>629</v>
      </c>
      <c r="G92" s="6">
        <f t="shared" ca="1" si="19"/>
        <v>0</v>
      </c>
      <c r="H92">
        <f t="shared" ca="1" si="13"/>
        <v>3</v>
      </c>
      <c r="R92">
        <f t="shared" ca="1" si="14"/>
        <v>12</v>
      </c>
      <c r="U92">
        <f t="shared" ca="1" si="15"/>
        <v>15</v>
      </c>
    </row>
    <row r="93" spans="1:21" x14ac:dyDescent="0.3">
      <c r="A93">
        <v>77</v>
      </c>
      <c r="B93" s="1">
        <f t="shared" ca="1" si="11"/>
        <v>12</v>
      </c>
      <c r="C93" s="6">
        <f t="shared" ca="1" si="16"/>
        <v>12</v>
      </c>
      <c r="D93" s="1">
        <f t="shared" ca="1" si="12"/>
        <v>10</v>
      </c>
      <c r="E93" s="6">
        <f t="shared" ca="1" si="17"/>
        <v>10</v>
      </c>
      <c r="F93" s="6">
        <f t="shared" ca="1" si="18"/>
        <v>639</v>
      </c>
      <c r="G93" s="6">
        <f t="shared" ca="1" si="19"/>
        <v>2</v>
      </c>
      <c r="H93">
        <f t="shared" ca="1" si="13"/>
        <v>0</v>
      </c>
      <c r="R93">
        <f t="shared" ca="1" si="14"/>
        <v>12</v>
      </c>
      <c r="U93">
        <f t="shared" ca="1" si="15"/>
        <v>10</v>
      </c>
    </row>
    <row r="94" spans="1:21" x14ac:dyDescent="0.3">
      <c r="A94">
        <v>78</v>
      </c>
      <c r="B94" s="1">
        <f t="shared" ca="1" si="11"/>
        <v>12</v>
      </c>
      <c r="C94" s="6">
        <f t="shared" ca="1" si="16"/>
        <v>14</v>
      </c>
      <c r="D94" s="1">
        <f t="shared" ca="1" si="12"/>
        <v>15</v>
      </c>
      <c r="E94" s="6">
        <f t="shared" ca="1" si="17"/>
        <v>14</v>
      </c>
      <c r="F94" s="6">
        <f t="shared" ca="1" si="18"/>
        <v>653</v>
      </c>
      <c r="G94" s="6">
        <f t="shared" ca="1" si="19"/>
        <v>0</v>
      </c>
      <c r="H94">
        <f t="shared" ca="1" si="13"/>
        <v>1</v>
      </c>
      <c r="R94">
        <f t="shared" ca="1" si="14"/>
        <v>12</v>
      </c>
      <c r="U94">
        <f t="shared" ca="1" si="15"/>
        <v>15</v>
      </c>
    </row>
    <row r="95" spans="1:21" x14ac:dyDescent="0.3">
      <c r="A95">
        <v>79</v>
      </c>
      <c r="B95" s="1">
        <f t="shared" ca="1" si="11"/>
        <v>12</v>
      </c>
      <c r="C95" s="6">
        <f t="shared" ca="1" si="16"/>
        <v>12</v>
      </c>
      <c r="D95" s="1">
        <f t="shared" ca="1" si="12"/>
        <v>15</v>
      </c>
      <c r="E95" s="6">
        <f t="shared" ca="1" si="17"/>
        <v>12</v>
      </c>
      <c r="F95" s="6">
        <f t="shared" ca="1" si="18"/>
        <v>665</v>
      </c>
      <c r="G95" s="6">
        <f t="shared" ca="1" si="19"/>
        <v>0</v>
      </c>
      <c r="H95">
        <f t="shared" ca="1" si="13"/>
        <v>3</v>
      </c>
      <c r="R95">
        <f t="shared" ca="1" si="14"/>
        <v>12</v>
      </c>
      <c r="U95">
        <f t="shared" ca="1" si="15"/>
        <v>15</v>
      </c>
    </row>
    <row r="96" spans="1:21" x14ac:dyDescent="0.3">
      <c r="A96">
        <v>80</v>
      </c>
      <c r="B96" s="1">
        <f t="shared" ca="1" si="11"/>
        <v>9</v>
      </c>
      <c r="C96" s="6">
        <f t="shared" ca="1" si="16"/>
        <v>9</v>
      </c>
      <c r="D96" s="1">
        <f t="shared" ca="1" si="12"/>
        <v>15</v>
      </c>
      <c r="E96" s="6">
        <f t="shared" ca="1" si="17"/>
        <v>9</v>
      </c>
      <c r="F96" s="6">
        <f t="shared" ca="1" si="18"/>
        <v>674</v>
      </c>
      <c r="G96" s="6">
        <f t="shared" ca="1" si="19"/>
        <v>0</v>
      </c>
      <c r="H96">
        <f t="shared" ca="1" si="13"/>
        <v>6</v>
      </c>
      <c r="R96">
        <f t="shared" ca="1" si="14"/>
        <v>9</v>
      </c>
      <c r="U96">
        <f t="shared" ca="1" si="15"/>
        <v>15</v>
      </c>
    </row>
    <row r="97" spans="1:21" x14ac:dyDescent="0.3">
      <c r="A97">
        <v>81</v>
      </c>
      <c r="B97" s="1">
        <f t="shared" ca="1" si="11"/>
        <v>7</v>
      </c>
      <c r="C97" s="6">
        <f t="shared" ca="1" si="16"/>
        <v>7</v>
      </c>
      <c r="D97" s="1">
        <f t="shared" ca="1" si="12"/>
        <v>15</v>
      </c>
      <c r="E97" s="6">
        <f t="shared" ca="1" si="17"/>
        <v>7</v>
      </c>
      <c r="F97" s="6">
        <f t="shared" ca="1" si="18"/>
        <v>681</v>
      </c>
      <c r="G97" s="6">
        <f t="shared" ca="1" si="19"/>
        <v>0</v>
      </c>
      <c r="H97">
        <f t="shared" ca="1" si="13"/>
        <v>8</v>
      </c>
      <c r="R97">
        <f t="shared" ca="1" si="14"/>
        <v>7</v>
      </c>
      <c r="U97">
        <f t="shared" ca="1" si="15"/>
        <v>15</v>
      </c>
    </row>
    <row r="98" spans="1:21" x14ac:dyDescent="0.3">
      <c r="A98">
        <v>82</v>
      </c>
      <c r="B98" s="1">
        <f t="shared" ca="1" si="11"/>
        <v>7</v>
      </c>
      <c r="C98" s="6">
        <f t="shared" ca="1" si="16"/>
        <v>7</v>
      </c>
      <c r="D98" s="1">
        <f t="shared" ca="1" si="12"/>
        <v>10</v>
      </c>
      <c r="E98" s="6">
        <f t="shared" ca="1" si="17"/>
        <v>7</v>
      </c>
      <c r="F98" s="6">
        <f t="shared" ca="1" si="18"/>
        <v>688</v>
      </c>
      <c r="G98" s="6">
        <f t="shared" ca="1" si="19"/>
        <v>0</v>
      </c>
      <c r="H98">
        <f t="shared" ca="1" si="13"/>
        <v>3</v>
      </c>
      <c r="R98">
        <f t="shared" ca="1" si="14"/>
        <v>7</v>
      </c>
      <c r="U98">
        <f t="shared" ca="1" si="15"/>
        <v>10</v>
      </c>
    </row>
    <row r="99" spans="1:21" x14ac:dyDescent="0.3">
      <c r="A99">
        <v>83</v>
      </c>
      <c r="B99" s="1">
        <f t="shared" ca="1" si="11"/>
        <v>12</v>
      </c>
      <c r="C99" s="6">
        <f t="shared" ca="1" si="16"/>
        <v>12</v>
      </c>
      <c r="D99" s="1">
        <f t="shared" ca="1" si="12"/>
        <v>15</v>
      </c>
      <c r="E99" s="6">
        <f t="shared" ca="1" si="17"/>
        <v>12</v>
      </c>
      <c r="F99" s="6">
        <f t="shared" ca="1" si="18"/>
        <v>700</v>
      </c>
      <c r="G99" s="6">
        <f t="shared" ca="1" si="19"/>
        <v>0</v>
      </c>
      <c r="H99">
        <f t="shared" ca="1" si="13"/>
        <v>3</v>
      </c>
      <c r="R99">
        <f t="shared" ca="1" si="14"/>
        <v>12</v>
      </c>
      <c r="U99">
        <f t="shared" ca="1" si="15"/>
        <v>15</v>
      </c>
    </row>
    <row r="100" spans="1:21" x14ac:dyDescent="0.3">
      <c r="A100">
        <v>84</v>
      </c>
      <c r="B100" s="1">
        <f t="shared" ca="1" si="11"/>
        <v>12</v>
      </c>
      <c r="C100" s="6">
        <f t="shared" ca="1" si="16"/>
        <v>12</v>
      </c>
      <c r="D100" s="1">
        <f t="shared" ca="1" si="12"/>
        <v>10</v>
      </c>
      <c r="E100" s="6">
        <f t="shared" ca="1" si="17"/>
        <v>10</v>
      </c>
      <c r="F100" s="6">
        <f t="shared" ca="1" si="18"/>
        <v>710</v>
      </c>
      <c r="G100" s="6">
        <f t="shared" ca="1" si="19"/>
        <v>2</v>
      </c>
      <c r="H100">
        <f t="shared" ca="1" si="13"/>
        <v>0</v>
      </c>
      <c r="R100">
        <f t="shared" ca="1" si="14"/>
        <v>12</v>
      </c>
      <c r="U100">
        <f t="shared" ca="1" si="15"/>
        <v>10</v>
      </c>
    </row>
    <row r="101" spans="1:21" x14ac:dyDescent="0.3">
      <c r="A101">
        <v>85</v>
      </c>
      <c r="B101" s="1">
        <f t="shared" ca="1" si="11"/>
        <v>12</v>
      </c>
      <c r="C101" s="6">
        <f t="shared" ca="1" si="16"/>
        <v>14</v>
      </c>
      <c r="D101" s="1">
        <f t="shared" ca="1" si="12"/>
        <v>15</v>
      </c>
      <c r="E101" s="6">
        <f t="shared" ca="1" si="17"/>
        <v>14</v>
      </c>
      <c r="F101" s="6">
        <f t="shared" ca="1" si="18"/>
        <v>724</v>
      </c>
      <c r="G101" s="6">
        <f t="shared" ca="1" si="19"/>
        <v>0</v>
      </c>
      <c r="H101">
        <f t="shared" ca="1" si="13"/>
        <v>1</v>
      </c>
      <c r="R101">
        <f t="shared" ca="1" si="14"/>
        <v>12</v>
      </c>
      <c r="U101">
        <f t="shared" ca="1" si="15"/>
        <v>15</v>
      </c>
    </row>
    <row r="102" spans="1:21" x14ac:dyDescent="0.3">
      <c r="A102">
        <v>86</v>
      </c>
      <c r="B102" s="1">
        <f t="shared" ca="1" si="11"/>
        <v>7</v>
      </c>
      <c r="C102" s="6">
        <f t="shared" ca="1" si="16"/>
        <v>7</v>
      </c>
      <c r="D102" s="1">
        <f t="shared" ca="1" si="12"/>
        <v>10</v>
      </c>
      <c r="E102" s="6">
        <f t="shared" ca="1" si="17"/>
        <v>7</v>
      </c>
      <c r="F102" s="6">
        <f t="shared" ca="1" si="18"/>
        <v>731</v>
      </c>
      <c r="G102" s="6">
        <f t="shared" ca="1" si="19"/>
        <v>0</v>
      </c>
      <c r="H102">
        <f t="shared" ca="1" si="13"/>
        <v>3</v>
      </c>
      <c r="R102">
        <f t="shared" ca="1" si="14"/>
        <v>7</v>
      </c>
      <c r="U102">
        <f t="shared" ca="1" si="15"/>
        <v>10</v>
      </c>
    </row>
    <row r="103" spans="1:21" x14ac:dyDescent="0.3">
      <c r="A103">
        <v>87</v>
      </c>
      <c r="B103" s="1">
        <f t="shared" ca="1" si="11"/>
        <v>9</v>
      </c>
      <c r="C103" s="6">
        <f t="shared" ca="1" si="16"/>
        <v>9</v>
      </c>
      <c r="D103" s="1">
        <f t="shared" ca="1" si="12"/>
        <v>10</v>
      </c>
      <c r="E103" s="6">
        <f t="shared" ca="1" si="17"/>
        <v>9</v>
      </c>
      <c r="F103" s="6">
        <f t="shared" ca="1" si="18"/>
        <v>740</v>
      </c>
      <c r="G103" s="6">
        <f t="shared" ca="1" si="19"/>
        <v>0</v>
      </c>
      <c r="H103">
        <f t="shared" ca="1" si="13"/>
        <v>1</v>
      </c>
      <c r="R103">
        <f t="shared" ca="1" si="14"/>
        <v>9</v>
      </c>
      <c r="U103">
        <f t="shared" ca="1" si="15"/>
        <v>10</v>
      </c>
    </row>
    <row r="104" spans="1:21" x14ac:dyDescent="0.3">
      <c r="A104">
        <v>88</v>
      </c>
      <c r="B104" s="1">
        <f t="shared" ca="1" si="11"/>
        <v>7</v>
      </c>
      <c r="C104" s="6">
        <f t="shared" ca="1" si="16"/>
        <v>7</v>
      </c>
      <c r="D104" s="1">
        <f t="shared" ca="1" si="12"/>
        <v>15</v>
      </c>
      <c r="E104" s="6">
        <f t="shared" ca="1" si="17"/>
        <v>7</v>
      </c>
      <c r="F104" s="6">
        <f t="shared" ca="1" si="18"/>
        <v>747</v>
      </c>
      <c r="G104" s="6">
        <f t="shared" ca="1" si="19"/>
        <v>0</v>
      </c>
      <c r="H104">
        <f t="shared" ca="1" si="13"/>
        <v>8</v>
      </c>
      <c r="R104">
        <f t="shared" ca="1" si="14"/>
        <v>7</v>
      </c>
      <c r="U104">
        <f t="shared" ca="1" si="15"/>
        <v>15</v>
      </c>
    </row>
    <row r="105" spans="1:21" x14ac:dyDescent="0.3">
      <c r="A105">
        <v>89</v>
      </c>
      <c r="B105" s="1">
        <f t="shared" ca="1" si="11"/>
        <v>9</v>
      </c>
      <c r="C105" s="6">
        <f t="shared" ca="1" si="16"/>
        <v>9</v>
      </c>
      <c r="D105" s="1">
        <f t="shared" ca="1" si="12"/>
        <v>6</v>
      </c>
      <c r="E105" s="6">
        <f t="shared" ca="1" si="17"/>
        <v>6</v>
      </c>
      <c r="F105" s="6">
        <f t="shared" ca="1" si="18"/>
        <v>753</v>
      </c>
      <c r="G105" s="6">
        <f t="shared" ca="1" si="19"/>
        <v>3</v>
      </c>
      <c r="H105">
        <f t="shared" ca="1" si="13"/>
        <v>0</v>
      </c>
      <c r="R105">
        <f t="shared" ca="1" si="14"/>
        <v>9</v>
      </c>
      <c r="U105">
        <f t="shared" ca="1" si="15"/>
        <v>6</v>
      </c>
    </row>
    <row r="106" spans="1:21" x14ac:dyDescent="0.3">
      <c r="A106">
        <v>90</v>
      </c>
      <c r="B106" s="1">
        <f t="shared" ca="1" si="11"/>
        <v>12</v>
      </c>
      <c r="C106" s="6">
        <f t="shared" ca="1" si="16"/>
        <v>15</v>
      </c>
      <c r="D106" s="1">
        <f t="shared" ca="1" si="12"/>
        <v>10</v>
      </c>
      <c r="E106" s="6">
        <f t="shared" ca="1" si="17"/>
        <v>10</v>
      </c>
      <c r="F106" s="6">
        <f t="shared" ca="1" si="18"/>
        <v>763</v>
      </c>
      <c r="G106" s="6">
        <f t="shared" ca="1" si="19"/>
        <v>5</v>
      </c>
      <c r="H106">
        <f t="shared" ca="1" si="13"/>
        <v>0</v>
      </c>
      <c r="R106">
        <f t="shared" ca="1" si="14"/>
        <v>12</v>
      </c>
      <c r="U106">
        <f t="shared" ca="1" si="15"/>
        <v>10</v>
      </c>
    </row>
    <row r="107" spans="1:21" x14ac:dyDescent="0.3">
      <c r="A107">
        <v>91</v>
      </c>
      <c r="B107" s="1">
        <f t="shared" ca="1" si="11"/>
        <v>9</v>
      </c>
      <c r="C107" s="6">
        <f t="shared" ca="1" si="16"/>
        <v>14</v>
      </c>
      <c r="D107" s="1">
        <f t="shared" ca="1" si="12"/>
        <v>15</v>
      </c>
      <c r="E107" s="6">
        <f t="shared" ca="1" si="17"/>
        <v>14</v>
      </c>
      <c r="F107" s="6">
        <f t="shared" ca="1" si="18"/>
        <v>777</v>
      </c>
      <c r="G107" s="6">
        <f t="shared" ca="1" si="19"/>
        <v>0</v>
      </c>
      <c r="H107">
        <f t="shared" ca="1" si="13"/>
        <v>1</v>
      </c>
      <c r="R107">
        <f t="shared" ca="1" si="14"/>
        <v>9</v>
      </c>
      <c r="U107">
        <f t="shared" ca="1" si="15"/>
        <v>15</v>
      </c>
    </row>
    <row r="108" spans="1:21" x14ac:dyDescent="0.3">
      <c r="A108">
        <v>92</v>
      </c>
      <c r="B108" s="1">
        <f t="shared" ca="1" si="11"/>
        <v>9</v>
      </c>
      <c r="C108" s="6">
        <f t="shared" ca="1" si="16"/>
        <v>9</v>
      </c>
      <c r="D108" s="1">
        <f t="shared" ca="1" si="12"/>
        <v>10</v>
      </c>
      <c r="E108" s="6">
        <f t="shared" ca="1" si="17"/>
        <v>9</v>
      </c>
      <c r="F108" s="6">
        <f t="shared" ca="1" si="18"/>
        <v>786</v>
      </c>
      <c r="G108" s="6">
        <f t="shared" ca="1" si="19"/>
        <v>0</v>
      </c>
      <c r="H108">
        <f t="shared" ca="1" si="13"/>
        <v>1</v>
      </c>
      <c r="R108">
        <f t="shared" ca="1" si="14"/>
        <v>9</v>
      </c>
      <c r="U108">
        <f t="shared" ca="1" si="15"/>
        <v>10</v>
      </c>
    </row>
    <row r="109" spans="1:21" x14ac:dyDescent="0.3">
      <c r="A109">
        <v>93</v>
      </c>
      <c r="B109" s="1">
        <f t="shared" ca="1" si="11"/>
        <v>7</v>
      </c>
      <c r="C109" s="6">
        <f t="shared" ca="1" si="16"/>
        <v>7</v>
      </c>
      <c r="D109" s="1">
        <f t="shared" ca="1" si="12"/>
        <v>10</v>
      </c>
      <c r="E109" s="6">
        <f t="shared" ca="1" si="17"/>
        <v>7</v>
      </c>
      <c r="F109" s="6">
        <f t="shared" ca="1" si="18"/>
        <v>793</v>
      </c>
      <c r="G109" s="6">
        <f t="shared" ca="1" si="19"/>
        <v>0</v>
      </c>
      <c r="H109">
        <f t="shared" ca="1" si="13"/>
        <v>3</v>
      </c>
      <c r="R109">
        <f t="shared" ca="1" si="14"/>
        <v>7</v>
      </c>
      <c r="U109">
        <f t="shared" ca="1" si="15"/>
        <v>10</v>
      </c>
    </row>
    <row r="110" spans="1:21" x14ac:dyDescent="0.3">
      <c r="A110">
        <v>94</v>
      </c>
      <c r="B110" s="1">
        <f t="shared" ca="1" si="11"/>
        <v>5</v>
      </c>
      <c r="C110" s="6">
        <f t="shared" ca="1" si="16"/>
        <v>5</v>
      </c>
      <c r="D110" s="1">
        <f t="shared" ca="1" si="12"/>
        <v>10</v>
      </c>
      <c r="E110" s="6">
        <f t="shared" ca="1" si="17"/>
        <v>5</v>
      </c>
      <c r="F110" s="6">
        <f t="shared" ca="1" si="18"/>
        <v>798</v>
      </c>
      <c r="G110" s="6">
        <f t="shared" ca="1" si="19"/>
        <v>0</v>
      </c>
      <c r="H110">
        <f t="shared" ca="1" si="13"/>
        <v>5</v>
      </c>
      <c r="R110">
        <f t="shared" ca="1" si="14"/>
        <v>5</v>
      </c>
      <c r="U110">
        <f t="shared" ca="1" si="15"/>
        <v>10</v>
      </c>
    </row>
    <row r="111" spans="1:21" x14ac:dyDescent="0.3">
      <c r="A111">
        <v>95</v>
      </c>
      <c r="B111" s="1">
        <f t="shared" ca="1" si="11"/>
        <v>9</v>
      </c>
      <c r="C111" s="6">
        <f t="shared" ca="1" si="16"/>
        <v>9</v>
      </c>
      <c r="D111" s="1">
        <f t="shared" ca="1" si="12"/>
        <v>10</v>
      </c>
      <c r="E111" s="6">
        <f t="shared" ca="1" si="17"/>
        <v>9</v>
      </c>
      <c r="F111" s="6">
        <f t="shared" ca="1" si="18"/>
        <v>807</v>
      </c>
      <c r="G111" s="6">
        <f t="shared" ca="1" si="19"/>
        <v>0</v>
      </c>
      <c r="H111">
        <f t="shared" ca="1" si="13"/>
        <v>1</v>
      </c>
      <c r="R111">
        <f t="shared" ca="1" si="14"/>
        <v>9</v>
      </c>
      <c r="U111">
        <f t="shared" ca="1" si="15"/>
        <v>10</v>
      </c>
    </row>
    <row r="112" spans="1:21" x14ac:dyDescent="0.3">
      <c r="A112">
        <v>96</v>
      </c>
      <c r="B112" s="1">
        <f t="shared" ca="1" si="11"/>
        <v>9</v>
      </c>
      <c r="C112" s="6">
        <f t="shared" ca="1" si="16"/>
        <v>9</v>
      </c>
      <c r="D112" s="1">
        <f t="shared" ca="1" si="12"/>
        <v>6</v>
      </c>
      <c r="E112" s="6">
        <f t="shared" ca="1" si="17"/>
        <v>6</v>
      </c>
      <c r="F112" s="6">
        <f t="shared" ca="1" si="18"/>
        <v>813</v>
      </c>
      <c r="G112" s="6">
        <f t="shared" ca="1" si="19"/>
        <v>3</v>
      </c>
      <c r="H112">
        <f t="shared" ca="1" si="13"/>
        <v>0</v>
      </c>
      <c r="R112">
        <f t="shared" ca="1" si="14"/>
        <v>9</v>
      </c>
      <c r="U112">
        <f t="shared" ca="1" si="15"/>
        <v>6</v>
      </c>
    </row>
    <row r="113" spans="1:21" x14ac:dyDescent="0.3">
      <c r="A113">
        <v>97</v>
      </c>
      <c r="B113" s="1">
        <f t="shared" ca="1" si="11"/>
        <v>5</v>
      </c>
      <c r="C113" s="6">
        <f t="shared" ca="1" si="16"/>
        <v>8</v>
      </c>
      <c r="D113" s="1">
        <f t="shared" ca="1" si="12"/>
        <v>15</v>
      </c>
      <c r="E113" s="6">
        <f t="shared" ca="1" si="17"/>
        <v>8</v>
      </c>
      <c r="F113" s="6">
        <f t="shared" ca="1" si="18"/>
        <v>821</v>
      </c>
      <c r="G113" s="6">
        <f t="shared" ca="1" si="19"/>
        <v>0</v>
      </c>
      <c r="H113">
        <f t="shared" ca="1" si="13"/>
        <v>7</v>
      </c>
      <c r="R113">
        <f t="shared" ca="1" si="14"/>
        <v>5</v>
      </c>
      <c r="U113">
        <f t="shared" ca="1" si="15"/>
        <v>15</v>
      </c>
    </row>
    <row r="114" spans="1:21" x14ac:dyDescent="0.3">
      <c r="A114">
        <v>98</v>
      </c>
      <c r="B114" s="1">
        <f t="shared" ca="1" si="11"/>
        <v>9</v>
      </c>
      <c r="C114" s="6">
        <f t="shared" ca="1" si="16"/>
        <v>9</v>
      </c>
      <c r="D114" s="1">
        <f t="shared" ca="1" si="12"/>
        <v>10</v>
      </c>
      <c r="E114" s="6">
        <f t="shared" ca="1" si="17"/>
        <v>9</v>
      </c>
      <c r="F114" s="6">
        <f t="shared" ca="1" si="18"/>
        <v>830</v>
      </c>
      <c r="G114" s="6">
        <f t="shared" ca="1" si="19"/>
        <v>0</v>
      </c>
      <c r="H114">
        <f t="shared" ca="1" si="13"/>
        <v>1</v>
      </c>
      <c r="R114">
        <f t="shared" ca="1" si="14"/>
        <v>9</v>
      </c>
      <c r="U114">
        <f t="shared" ca="1" si="15"/>
        <v>10</v>
      </c>
    </row>
    <row r="115" spans="1:21" x14ac:dyDescent="0.3">
      <c r="A115">
        <v>99</v>
      </c>
      <c r="B115" s="1">
        <f t="shared" ca="1" si="11"/>
        <v>12</v>
      </c>
      <c r="C115" s="6">
        <f t="shared" ca="1" si="16"/>
        <v>12</v>
      </c>
      <c r="D115" s="1">
        <f t="shared" ca="1" si="12"/>
        <v>15</v>
      </c>
      <c r="E115" s="6">
        <f t="shared" ca="1" si="17"/>
        <v>12</v>
      </c>
      <c r="F115" s="6">
        <f t="shared" ca="1" si="18"/>
        <v>842</v>
      </c>
      <c r="G115" s="6">
        <f t="shared" ca="1" si="19"/>
        <v>0</v>
      </c>
      <c r="H115">
        <f t="shared" ca="1" si="13"/>
        <v>3</v>
      </c>
      <c r="R115">
        <f t="shared" ca="1" si="14"/>
        <v>12</v>
      </c>
      <c r="U115">
        <f t="shared" ca="1" si="15"/>
        <v>15</v>
      </c>
    </row>
    <row r="116" spans="1:21" x14ac:dyDescent="0.3">
      <c r="A116">
        <v>100</v>
      </c>
      <c r="B116" s="1">
        <f t="shared" ca="1" si="11"/>
        <v>7</v>
      </c>
      <c r="C116" s="6">
        <f t="shared" ca="1" si="16"/>
        <v>7</v>
      </c>
      <c r="D116" s="1">
        <f t="shared" ca="1" si="12"/>
        <v>6</v>
      </c>
      <c r="E116" s="6">
        <f t="shared" ca="1" si="17"/>
        <v>6</v>
      </c>
      <c r="F116" s="6">
        <f t="shared" ca="1" si="18"/>
        <v>848</v>
      </c>
      <c r="G116" s="6">
        <f t="shared" ca="1" si="19"/>
        <v>1</v>
      </c>
      <c r="H116">
        <f t="shared" ca="1" si="13"/>
        <v>0</v>
      </c>
      <c r="R116">
        <f t="shared" ca="1" si="14"/>
        <v>7</v>
      </c>
      <c r="U116">
        <f t="shared" ca="1" si="15"/>
        <v>6</v>
      </c>
    </row>
    <row r="117" spans="1:21" x14ac:dyDescent="0.3">
      <c r="A117">
        <v>101</v>
      </c>
      <c r="B117" s="1">
        <f t="shared" ca="1" si="11"/>
        <v>7</v>
      </c>
      <c r="C117" s="6">
        <f t="shared" ca="1" si="16"/>
        <v>8</v>
      </c>
      <c r="D117" s="1">
        <f t="shared" ca="1" si="12"/>
        <v>6</v>
      </c>
      <c r="E117" s="6">
        <f t="shared" ca="1" si="17"/>
        <v>6</v>
      </c>
      <c r="F117" s="6">
        <f t="shared" ca="1" si="18"/>
        <v>854</v>
      </c>
      <c r="G117" s="6">
        <f t="shared" ca="1" si="19"/>
        <v>2</v>
      </c>
      <c r="H117">
        <f t="shared" ca="1" si="13"/>
        <v>0</v>
      </c>
      <c r="R117">
        <f t="shared" ca="1" si="14"/>
        <v>7</v>
      </c>
      <c r="U117">
        <f t="shared" ca="1" si="15"/>
        <v>6</v>
      </c>
    </row>
    <row r="118" spans="1:21" x14ac:dyDescent="0.3">
      <c r="A118">
        <v>102</v>
      </c>
      <c r="B118" s="1">
        <f t="shared" ca="1" si="11"/>
        <v>12</v>
      </c>
      <c r="C118" s="6">
        <f t="shared" ca="1" si="16"/>
        <v>14</v>
      </c>
      <c r="D118" s="1">
        <f t="shared" ca="1" si="12"/>
        <v>15</v>
      </c>
      <c r="E118" s="6">
        <f t="shared" ca="1" si="17"/>
        <v>14</v>
      </c>
      <c r="F118" s="6">
        <f t="shared" ca="1" si="18"/>
        <v>868</v>
      </c>
      <c r="G118" s="6">
        <f t="shared" ca="1" si="19"/>
        <v>0</v>
      </c>
      <c r="H118">
        <f t="shared" ca="1" si="13"/>
        <v>1</v>
      </c>
      <c r="R118">
        <f t="shared" ca="1" si="14"/>
        <v>12</v>
      </c>
      <c r="U118">
        <f t="shared" ca="1" si="15"/>
        <v>15</v>
      </c>
    </row>
    <row r="119" spans="1:21" x14ac:dyDescent="0.3">
      <c r="A119">
        <v>103</v>
      </c>
      <c r="B119" s="1">
        <f t="shared" ca="1" si="11"/>
        <v>7</v>
      </c>
      <c r="C119" s="6">
        <f t="shared" ca="1" si="16"/>
        <v>7</v>
      </c>
      <c r="D119" s="1">
        <f t="shared" ca="1" si="12"/>
        <v>10</v>
      </c>
      <c r="E119" s="6">
        <f t="shared" ca="1" si="17"/>
        <v>7</v>
      </c>
      <c r="F119" s="6">
        <f t="shared" ca="1" si="18"/>
        <v>875</v>
      </c>
      <c r="G119" s="6">
        <f t="shared" ca="1" si="19"/>
        <v>0</v>
      </c>
      <c r="H119">
        <f t="shared" ca="1" si="13"/>
        <v>3</v>
      </c>
      <c r="R119">
        <f t="shared" ca="1" si="14"/>
        <v>7</v>
      </c>
      <c r="U119">
        <f t="shared" ca="1" si="15"/>
        <v>10</v>
      </c>
    </row>
    <row r="120" spans="1:21" x14ac:dyDescent="0.3">
      <c r="A120">
        <v>104</v>
      </c>
      <c r="B120" s="1">
        <f t="shared" ca="1" si="11"/>
        <v>9</v>
      </c>
      <c r="C120" s="6">
        <f t="shared" ca="1" si="16"/>
        <v>9</v>
      </c>
      <c r="D120" s="1">
        <f t="shared" ca="1" si="12"/>
        <v>10</v>
      </c>
      <c r="E120" s="6">
        <f t="shared" ca="1" si="17"/>
        <v>9</v>
      </c>
      <c r="F120" s="6">
        <f t="shared" ca="1" si="18"/>
        <v>884</v>
      </c>
      <c r="G120" s="6">
        <f t="shared" ca="1" si="19"/>
        <v>0</v>
      </c>
      <c r="H120">
        <f t="shared" ca="1" si="13"/>
        <v>1</v>
      </c>
      <c r="R120">
        <f t="shared" ca="1" si="14"/>
        <v>9</v>
      </c>
      <c r="U120">
        <f t="shared" ca="1" si="15"/>
        <v>10</v>
      </c>
    </row>
    <row r="121" spans="1:21" x14ac:dyDescent="0.3">
      <c r="A121">
        <v>105</v>
      </c>
      <c r="B121" s="1">
        <f t="shared" ca="1" si="11"/>
        <v>9</v>
      </c>
      <c r="C121" s="6">
        <f t="shared" ca="1" si="16"/>
        <v>9</v>
      </c>
      <c r="D121" s="1">
        <f t="shared" ca="1" si="12"/>
        <v>15</v>
      </c>
      <c r="E121" s="6">
        <f t="shared" ca="1" si="17"/>
        <v>9</v>
      </c>
      <c r="F121" s="6">
        <f t="shared" ca="1" si="18"/>
        <v>893</v>
      </c>
      <c r="G121" s="6">
        <f t="shared" ca="1" si="19"/>
        <v>0</v>
      </c>
      <c r="H121">
        <f t="shared" ca="1" si="13"/>
        <v>6</v>
      </c>
      <c r="R121">
        <f t="shared" ca="1" si="14"/>
        <v>9</v>
      </c>
      <c r="U121">
        <f t="shared" ca="1" si="15"/>
        <v>15</v>
      </c>
    </row>
    <row r="122" spans="1:21" x14ac:dyDescent="0.3">
      <c r="A122">
        <v>106</v>
      </c>
      <c r="B122" s="1">
        <f t="shared" ca="1" si="11"/>
        <v>12</v>
      </c>
      <c r="C122" s="6">
        <f t="shared" ca="1" si="16"/>
        <v>12</v>
      </c>
      <c r="D122" s="1">
        <f t="shared" ca="1" si="12"/>
        <v>15</v>
      </c>
      <c r="E122" s="6">
        <f t="shared" ca="1" si="17"/>
        <v>12</v>
      </c>
      <c r="F122" s="6">
        <f t="shared" ca="1" si="18"/>
        <v>905</v>
      </c>
      <c r="G122" s="6">
        <f t="shared" ca="1" si="19"/>
        <v>0</v>
      </c>
      <c r="H122">
        <f t="shared" ca="1" si="13"/>
        <v>3</v>
      </c>
      <c r="R122">
        <f t="shared" ca="1" si="14"/>
        <v>12</v>
      </c>
      <c r="U122">
        <f t="shared" ca="1" si="15"/>
        <v>15</v>
      </c>
    </row>
    <row r="123" spans="1:21" x14ac:dyDescent="0.3">
      <c r="A123">
        <v>107</v>
      </c>
      <c r="B123" s="1">
        <f t="shared" ca="1" si="11"/>
        <v>12</v>
      </c>
      <c r="C123" s="6">
        <f t="shared" ca="1" si="16"/>
        <v>12</v>
      </c>
      <c r="D123" s="1">
        <f t="shared" ca="1" si="12"/>
        <v>8</v>
      </c>
      <c r="E123" s="6">
        <f t="shared" ca="1" si="17"/>
        <v>8</v>
      </c>
      <c r="F123" s="6">
        <f t="shared" ca="1" si="18"/>
        <v>913</v>
      </c>
      <c r="G123" s="6">
        <f t="shared" ca="1" si="19"/>
        <v>4</v>
      </c>
      <c r="H123">
        <f t="shared" ca="1" si="13"/>
        <v>0</v>
      </c>
      <c r="R123">
        <f t="shared" ca="1" si="14"/>
        <v>12</v>
      </c>
      <c r="U123">
        <f t="shared" ca="1" si="15"/>
        <v>8</v>
      </c>
    </row>
    <row r="124" spans="1:21" x14ac:dyDescent="0.3">
      <c r="A124">
        <v>108</v>
      </c>
      <c r="B124" s="1">
        <f t="shared" ca="1" si="11"/>
        <v>12</v>
      </c>
      <c r="C124" s="6">
        <f t="shared" ca="1" si="16"/>
        <v>16</v>
      </c>
      <c r="D124" s="1">
        <f t="shared" ca="1" si="12"/>
        <v>6</v>
      </c>
      <c r="E124" s="6">
        <f t="shared" ca="1" si="17"/>
        <v>6</v>
      </c>
      <c r="F124" s="6">
        <f t="shared" ca="1" si="18"/>
        <v>919</v>
      </c>
      <c r="G124" s="6">
        <f t="shared" ca="1" si="19"/>
        <v>10</v>
      </c>
      <c r="H124">
        <f t="shared" ca="1" si="13"/>
        <v>0</v>
      </c>
      <c r="R124">
        <f t="shared" ca="1" si="14"/>
        <v>12</v>
      </c>
      <c r="U124">
        <f t="shared" ca="1" si="15"/>
        <v>6</v>
      </c>
    </row>
    <row r="125" spans="1:21" x14ac:dyDescent="0.3">
      <c r="A125">
        <v>109</v>
      </c>
      <c r="B125" s="1">
        <f t="shared" ca="1" si="11"/>
        <v>7</v>
      </c>
      <c r="C125" s="6">
        <f t="shared" ca="1" si="16"/>
        <v>17</v>
      </c>
      <c r="D125" s="1">
        <f t="shared" ca="1" si="12"/>
        <v>8</v>
      </c>
      <c r="E125" s="6">
        <f t="shared" ca="1" si="17"/>
        <v>8</v>
      </c>
      <c r="F125" s="6">
        <f t="shared" ca="1" si="18"/>
        <v>927</v>
      </c>
      <c r="G125" s="6">
        <f t="shared" ca="1" si="19"/>
        <v>9</v>
      </c>
      <c r="H125">
        <f t="shared" ca="1" si="13"/>
        <v>0</v>
      </c>
      <c r="R125">
        <f t="shared" ca="1" si="14"/>
        <v>7</v>
      </c>
      <c r="U125">
        <f t="shared" ca="1" si="15"/>
        <v>8</v>
      </c>
    </row>
    <row r="126" spans="1:21" x14ac:dyDescent="0.3">
      <c r="A126">
        <v>110</v>
      </c>
      <c r="B126" s="1">
        <f t="shared" ca="1" si="11"/>
        <v>7</v>
      </c>
      <c r="C126" s="6">
        <f t="shared" ca="1" si="16"/>
        <v>16</v>
      </c>
      <c r="D126" s="1">
        <f t="shared" ca="1" si="12"/>
        <v>15</v>
      </c>
      <c r="E126" s="6">
        <f t="shared" ca="1" si="17"/>
        <v>15</v>
      </c>
      <c r="F126" s="6">
        <f t="shared" ca="1" si="18"/>
        <v>942</v>
      </c>
      <c r="G126" s="6">
        <f t="shared" ca="1" si="19"/>
        <v>1</v>
      </c>
      <c r="H126">
        <f t="shared" ca="1" si="13"/>
        <v>0</v>
      </c>
      <c r="R126">
        <f t="shared" ca="1" si="14"/>
        <v>7</v>
      </c>
      <c r="U126">
        <f t="shared" ca="1" si="15"/>
        <v>15</v>
      </c>
    </row>
    <row r="127" spans="1:21" x14ac:dyDescent="0.3">
      <c r="A127">
        <v>111</v>
      </c>
      <c r="B127" s="1">
        <f t="shared" ca="1" si="11"/>
        <v>9</v>
      </c>
      <c r="C127" s="6">
        <f t="shared" ca="1" si="16"/>
        <v>10</v>
      </c>
      <c r="D127" s="1">
        <f t="shared" ca="1" si="12"/>
        <v>15</v>
      </c>
      <c r="E127" s="6">
        <f t="shared" ca="1" si="17"/>
        <v>10</v>
      </c>
      <c r="F127" s="6">
        <f t="shared" ca="1" si="18"/>
        <v>952</v>
      </c>
      <c r="G127" s="6">
        <f t="shared" ca="1" si="19"/>
        <v>0</v>
      </c>
      <c r="H127">
        <f t="shared" ca="1" si="13"/>
        <v>5</v>
      </c>
      <c r="R127">
        <f t="shared" ca="1" si="14"/>
        <v>9</v>
      </c>
      <c r="U127">
        <f t="shared" ca="1" si="15"/>
        <v>15</v>
      </c>
    </row>
    <row r="128" spans="1:21" x14ac:dyDescent="0.3">
      <c r="A128">
        <v>112</v>
      </c>
      <c r="B128" s="1">
        <f t="shared" ca="1" si="11"/>
        <v>7</v>
      </c>
      <c r="C128" s="6">
        <f t="shared" ca="1" si="16"/>
        <v>7</v>
      </c>
      <c r="D128" s="1">
        <f t="shared" ca="1" si="12"/>
        <v>10</v>
      </c>
      <c r="E128" s="6">
        <f t="shared" ca="1" si="17"/>
        <v>7</v>
      </c>
      <c r="F128" s="6">
        <f t="shared" ca="1" si="18"/>
        <v>959</v>
      </c>
      <c r="G128" s="6">
        <f t="shared" ca="1" si="19"/>
        <v>0</v>
      </c>
      <c r="H128">
        <f t="shared" ca="1" si="13"/>
        <v>3</v>
      </c>
      <c r="R128">
        <f t="shared" ca="1" si="14"/>
        <v>7</v>
      </c>
      <c r="U128">
        <f t="shared" ca="1" si="15"/>
        <v>10</v>
      </c>
    </row>
    <row r="129" spans="1:21" x14ac:dyDescent="0.3">
      <c r="A129">
        <v>113</v>
      </c>
      <c r="B129" s="1">
        <f t="shared" ca="1" si="11"/>
        <v>7</v>
      </c>
      <c r="C129" s="6">
        <f t="shared" ca="1" si="16"/>
        <v>7</v>
      </c>
      <c r="D129" s="1">
        <f t="shared" ca="1" si="12"/>
        <v>10</v>
      </c>
      <c r="E129" s="6">
        <f t="shared" ca="1" si="17"/>
        <v>7</v>
      </c>
      <c r="F129" s="6">
        <f t="shared" ca="1" si="18"/>
        <v>966</v>
      </c>
      <c r="G129" s="6">
        <f t="shared" ca="1" si="19"/>
        <v>0</v>
      </c>
      <c r="H129">
        <f t="shared" ca="1" si="13"/>
        <v>3</v>
      </c>
      <c r="R129">
        <f t="shared" ca="1" si="14"/>
        <v>7</v>
      </c>
      <c r="U129">
        <f t="shared" ca="1" si="15"/>
        <v>10</v>
      </c>
    </row>
    <row r="130" spans="1:21" x14ac:dyDescent="0.3">
      <c r="A130">
        <v>114</v>
      </c>
      <c r="B130" s="1">
        <f t="shared" ca="1" si="11"/>
        <v>12</v>
      </c>
      <c r="C130" s="6">
        <f t="shared" ca="1" si="16"/>
        <v>12</v>
      </c>
      <c r="D130" s="1">
        <f t="shared" ca="1" si="12"/>
        <v>10</v>
      </c>
      <c r="E130" s="6">
        <f t="shared" ca="1" si="17"/>
        <v>10</v>
      </c>
      <c r="F130" s="6">
        <f t="shared" ca="1" si="18"/>
        <v>976</v>
      </c>
      <c r="G130" s="6">
        <f t="shared" ca="1" si="19"/>
        <v>2</v>
      </c>
      <c r="H130">
        <f t="shared" ca="1" si="13"/>
        <v>0</v>
      </c>
      <c r="R130">
        <f t="shared" ca="1" si="14"/>
        <v>12</v>
      </c>
      <c r="U130">
        <f t="shared" ca="1" si="15"/>
        <v>10</v>
      </c>
    </row>
    <row r="131" spans="1:21" x14ac:dyDescent="0.3">
      <c r="A131">
        <v>115</v>
      </c>
      <c r="B131" s="1">
        <f t="shared" ca="1" si="11"/>
        <v>9</v>
      </c>
      <c r="C131" s="6">
        <f t="shared" ca="1" si="16"/>
        <v>11</v>
      </c>
      <c r="D131" s="1">
        <f t="shared" ca="1" si="12"/>
        <v>10</v>
      </c>
      <c r="E131" s="6">
        <f t="shared" ca="1" si="17"/>
        <v>10</v>
      </c>
      <c r="F131" s="6">
        <f t="shared" ca="1" si="18"/>
        <v>986</v>
      </c>
      <c r="G131" s="6">
        <f t="shared" ca="1" si="19"/>
        <v>1</v>
      </c>
      <c r="H131">
        <f t="shared" ca="1" si="13"/>
        <v>0</v>
      </c>
      <c r="R131">
        <f t="shared" ca="1" si="14"/>
        <v>9</v>
      </c>
      <c r="U131">
        <f t="shared" ca="1" si="15"/>
        <v>10</v>
      </c>
    </row>
    <row r="132" spans="1:21" x14ac:dyDescent="0.3">
      <c r="A132">
        <v>116</v>
      </c>
      <c r="B132" s="1">
        <f t="shared" ca="1" si="11"/>
        <v>12</v>
      </c>
      <c r="C132" s="6">
        <f t="shared" ca="1" si="16"/>
        <v>13</v>
      </c>
      <c r="D132" s="1">
        <f t="shared" ca="1" si="12"/>
        <v>10</v>
      </c>
      <c r="E132" s="6">
        <f t="shared" ca="1" si="17"/>
        <v>10</v>
      </c>
      <c r="F132" s="6">
        <f t="shared" ca="1" si="18"/>
        <v>996</v>
      </c>
      <c r="G132" s="6">
        <f t="shared" ca="1" si="19"/>
        <v>3</v>
      </c>
      <c r="H132">
        <f t="shared" ca="1" si="13"/>
        <v>0</v>
      </c>
      <c r="R132">
        <f t="shared" ca="1" si="14"/>
        <v>12</v>
      </c>
      <c r="U132">
        <f t="shared" ca="1" si="15"/>
        <v>10</v>
      </c>
    </row>
    <row r="133" spans="1:21" x14ac:dyDescent="0.3">
      <c r="A133">
        <v>117</v>
      </c>
      <c r="B133" s="1">
        <f t="shared" ca="1" si="11"/>
        <v>9</v>
      </c>
      <c r="C133" s="6">
        <f t="shared" ca="1" si="16"/>
        <v>12</v>
      </c>
      <c r="D133" s="1">
        <f t="shared" ca="1" si="12"/>
        <v>15</v>
      </c>
      <c r="E133" s="6">
        <f t="shared" ca="1" si="17"/>
        <v>12</v>
      </c>
      <c r="F133" s="6">
        <f t="shared" ca="1" si="18"/>
        <v>1008</v>
      </c>
      <c r="G133" s="6">
        <f t="shared" ca="1" si="19"/>
        <v>0</v>
      </c>
      <c r="H133">
        <f t="shared" ca="1" si="13"/>
        <v>3</v>
      </c>
      <c r="R133">
        <f t="shared" ca="1" si="14"/>
        <v>9</v>
      </c>
      <c r="U133">
        <f t="shared" ca="1" si="15"/>
        <v>15</v>
      </c>
    </row>
    <row r="134" spans="1:21" x14ac:dyDescent="0.3">
      <c r="A134">
        <v>118</v>
      </c>
      <c r="B134" s="1">
        <f t="shared" ca="1" si="11"/>
        <v>7</v>
      </c>
      <c r="C134" s="6">
        <f t="shared" ca="1" si="16"/>
        <v>7</v>
      </c>
      <c r="D134" s="1">
        <f t="shared" ca="1" si="12"/>
        <v>15</v>
      </c>
      <c r="E134" s="6">
        <f t="shared" ca="1" si="17"/>
        <v>7</v>
      </c>
      <c r="F134" s="6">
        <f t="shared" ca="1" si="18"/>
        <v>1015</v>
      </c>
      <c r="G134" s="6">
        <f t="shared" ca="1" si="19"/>
        <v>0</v>
      </c>
      <c r="H134">
        <f t="shared" ca="1" si="13"/>
        <v>8</v>
      </c>
      <c r="R134">
        <f t="shared" ca="1" si="14"/>
        <v>7</v>
      </c>
      <c r="U134">
        <f t="shared" ca="1" si="15"/>
        <v>15</v>
      </c>
    </row>
    <row r="135" spans="1:21" x14ac:dyDescent="0.3">
      <c r="A135">
        <v>119</v>
      </c>
      <c r="B135" s="1">
        <f t="shared" ca="1" si="11"/>
        <v>7</v>
      </c>
      <c r="C135" s="6">
        <f t="shared" ca="1" si="16"/>
        <v>7</v>
      </c>
      <c r="D135" s="1">
        <f t="shared" ca="1" si="12"/>
        <v>15</v>
      </c>
      <c r="E135" s="6">
        <f t="shared" ca="1" si="17"/>
        <v>7</v>
      </c>
      <c r="F135" s="6">
        <f t="shared" ca="1" si="18"/>
        <v>1022</v>
      </c>
      <c r="G135" s="6">
        <f t="shared" ca="1" si="19"/>
        <v>0</v>
      </c>
      <c r="H135">
        <f t="shared" ca="1" si="13"/>
        <v>8</v>
      </c>
      <c r="R135">
        <f t="shared" ca="1" si="14"/>
        <v>7</v>
      </c>
      <c r="U135">
        <f t="shared" ca="1" si="15"/>
        <v>15</v>
      </c>
    </row>
    <row r="136" spans="1:21" x14ac:dyDescent="0.3">
      <c r="A136">
        <v>120</v>
      </c>
      <c r="B136" s="1">
        <f t="shared" ca="1" si="11"/>
        <v>7</v>
      </c>
      <c r="C136" s="6">
        <f t="shared" ca="1" si="16"/>
        <v>7</v>
      </c>
      <c r="D136" s="1">
        <f t="shared" ca="1" si="12"/>
        <v>10</v>
      </c>
      <c r="E136" s="6">
        <f t="shared" ca="1" si="17"/>
        <v>7</v>
      </c>
      <c r="F136" s="6">
        <f t="shared" ca="1" si="18"/>
        <v>1029</v>
      </c>
      <c r="G136" s="6">
        <f t="shared" ca="1" si="19"/>
        <v>0</v>
      </c>
      <c r="H136">
        <f t="shared" ca="1" si="13"/>
        <v>3</v>
      </c>
      <c r="R136">
        <f t="shared" ca="1" si="14"/>
        <v>7</v>
      </c>
      <c r="U136">
        <f t="shared" ca="1" si="15"/>
        <v>10</v>
      </c>
    </row>
    <row r="137" spans="1:21" x14ac:dyDescent="0.3">
      <c r="A137">
        <v>121</v>
      </c>
      <c r="B137" s="1">
        <f t="shared" ca="1" si="11"/>
        <v>12</v>
      </c>
      <c r="C137" s="6">
        <f t="shared" ca="1" si="16"/>
        <v>12</v>
      </c>
      <c r="D137" s="1">
        <f t="shared" ca="1" si="12"/>
        <v>15</v>
      </c>
      <c r="E137" s="6">
        <f t="shared" ca="1" si="17"/>
        <v>12</v>
      </c>
      <c r="F137" s="6">
        <f t="shared" ca="1" si="18"/>
        <v>1041</v>
      </c>
      <c r="G137" s="6">
        <f t="shared" ca="1" si="19"/>
        <v>0</v>
      </c>
      <c r="H137">
        <f t="shared" ca="1" si="13"/>
        <v>3</v>
      </c>
      <c r="R137">
        <f t="shared" ca="1" si="14"/>
        <v>12</v>
      </c>
      <c r="U137">
        <f t="shared" ca="1" si="15"/>
        <v>15</v>
      </c>
    </row>
    <row r="138" spans="1:21" x14ac:dyDescent="0.3">
      <c r="A138">
        <v>122</v>
      </c>
      <c r="B138" s="1">
        <f t="shared" ca="1" si="11"/>
        <v>12</v>
      </c>
      <c r="C138" s="6">
        <f t="shared" ca="1" si="16"/>
        <v>12</v>
      </c>
      <c r="D138" s="1">
        <f t="shared" ca="1" si="12"/>
        <v>15</v>
      </c>
      <c r="E138" s="6">
        <f t="shared" ca="1" si="17"/>
        <v>12</v>
      </c>
      <c r="F138" s="6">
        <f t="shared" ca="1" si="18"/>
        <v>1053</v>
      </c>
      <c r="G138" s="6">
        <f t="shared" ca="1" si="19"/>
        <v>0</v>
      </c>
      <c r="H138">
        <f t="shared" ca="1" si="13"/>
        <v>3</v>
      </c>
      <c r="R138">
        <f t="shared" ca="1" si="14"/>
        <v>12</v>
      </c>
      <c r="U138">
        <f t="shared" ca="1" si="15"/>
        <v>15</v>
      </c>
    </row>
    <row r="139" spans="1:21" x14ac:dyDescent="0.3">
      <c r="A139">
        <v>123</v>
      </c>
      <c r="B139" s="1">
        <f t="shared" ca="1" si="11"/>
        <v>12</v>
      </c>
      <c r="C139" s="6">
        <f t="shared" ca="1" si="16"/>
        <v>12</v>
      </c>
      <c r="D139" s="1">
        <f t="shared" ca="1" si="12"/>
        <v>10</v>
      </c>
      <c r="E139" s="6">
        <f t="shared" ca="1" si="17"/>
        <v>10</v>
      </c>
      <c r="F139" s="6">
        <f t="shared" ca="1" si="18"/>
        <v>1063</v>
      </c>
      <c r="G139" s="6">
        <f t="shared" ca="1" si="19"/>
        <v>2</v>
      </c>
      <c r="H139">
        <f t="shared" ca="1" si="13"/>
        <v>0</v>
      </c>
      <c r="R139">
        <f t="shared" ca="1" si="14"/>
        <v>12</v>
      </c>
      <c r="U139">
        <f t="shared" ca="1" si="15"/>
        <v>10</v>
      </c>
    </row>
    <row r="140" spans="1:21" x14ac:dyDescent="0.3">
      <c r="A140">
        <v>124</v>
      </c>
      <c r="B140" s="1">
        <f t="shared" ca="1" si="11"/>
        <v>7</v>
      </c>
      <c r="C140" s="6">
        <f t="shared" ca="1" si="16"/>
        <v>9</v>
      </c>
      <c r="D140" s="1">
        <f t="shared" ca="1" si="12"/>
        <v>15</v>
      </c>
      <c r="E140" s="6">
        <f t="shared" ca="1" si="17"/>
        <v>9</v>
      </c>
      <c r="F140" s="6">
        <f t="shared" ca="1" si="18"/>
        <v>1072</v>
      </c>
      <c r="G140" s="6">
        <f t="shared" ca="1" si="19"/>
        <v>0</v>
      </c>
      <c r="H140">
        <f t="shared" ca="1" si="13"/>
        <v>6</v>
      </c>
      <c r="R140">
        <f t="shared" ca="1" si="14"/>
        <v>7</v>
      </c>
      <c r="U140">
        <f t="shared" ca="1" si="15"/>
        <v>15</v>
      </c>
    </row>
    <row r="141" spans="1:21" x14ac:dyDescent="0.3">
      <c r="A141">
        <v>125</v>
      </c>
      <c r="B141" s="1">
        <f t="shared" ca="1" si="11"/>
        <v>5</v>
      </c>
      <c r="C141" s="6">
        <f t="shared" ca="1" si="16"/>
        <v>5</v>
      </c>
      <c r="D141" s="1">
        <f t="shared" ca="1" si="12"/>
        <v>10</v>
      </c>
      <c r="E141" s="6">
        <f t="shared" ca="1" si="17"/>
        <v>5</v>
      </c>
      <c r="F141" s="6">
        <f t="shared" ca="1" si="18"/>
        <v>1077</v>
      </c>
      <c r="G141" s="6">
        <f t="shared" ca="1" si="19"/>
        <v>0</v>
      </c>
      <c r="H141">
        <f t="shared" ca="1" si="13"/>
        <v>5</v>
      </c>
      <c r="R141">
        <f t="shared" ca="1" si="14"/>
        <v>5</v>
      </c>
      <c r="U141">
        <f t="shared" ca="1" si="15"/>
        <v>10</v>
      </c>
    </row>
    <row r="142" spans="1:21" x14ac:dyDescent="0.3">
      <c r="A142">
        <v>126</v>
      </c>
      <c r="B142" s="1">
        <f t="shared" ca="1" si="11"/>
        <v>9</v>
      </c>
      <c r="C142" s="6">
        <f t="shared" ca="1" si="16"/>
        <v>9</v>
      </c>
      <c r="D142" s="1">
        <f t="shared" ca="1" si="12"/>
        <v>10</v>
      </c>
      <c r="E142" s="6">
        <f t="shared" ca="1" si="17"/>
        <v>9</v>
      </c>
      <c r="F142" s="6">
        <f t="shared" ca="1" si="18"/>
        <v>1086</v>
      </c>
      <c r="G142" s="6">
        <f t="shared" ca="1" si="19"/>
        <v>0</v>
      </c>
      <c r="H142">
        <f t="shared" ca="1" si="13"/>
        <v>1</v>
      </c>
      <c r="R142">
        <f t="shared" ca="1" si="14"/>
        <v>9</v>
      </c>
      <c r="U142">
        <f t="shared" ca="1" si="15"/>
        <v>10</v>
      </c>
    </row>
    <row r="143" spans="1:21" x14ac:dyDescent="0.3">
      <c r="A143">
        <v>127</v>
      </c>
      <c r="B143" s="1">
        <f t="shared" ca="1" si="11"/>
        <v>7</v>
      </c>
      <c r="C143" s="6">
        <f t="shared" ca="1" si="16"/>
        <v>7</v>
      </c>
      <c r="D143" s="1">
        <f t="shared" ca="1" si="12"/>
        <v>8</v>
      </c>
      <c r="E143" s="6">
        <f t="shared" ca="1" si="17"/>
        <v>7</v>
      </c>
      <c r="F143" s="6">
        <f t="shared" ca="1" si="18"/>
        <v>1093</v>
      </c>
      <c r="G143" s="6">
        <f t="shared" ca="1" si="19"/>
        <v>0</v>
      </c>
      <c r="H143">
        <f t="shared" ca="1" si="13"/>
        <v>1</v>
      </c>
      <c r="R143">
        <f t="shared" ca="1" si="14"/>
        <v>7</v>
      </c>
      <c r="U143">
        <f t="shared" ca="1" si="15"/>
        <v>8</v>
      </c>
    </row>
    <row r="144" spans="1:21" x14ac:dyDescent="0.3">
      <c r="A144">
        <v>128</v>
      </c>
      <c r="B144" s="1">
        <f t="shared" ca="1" si="11"/>
        <v>7</v>
      </c>
      <c r="C144" s="6">
        <f t="shared" ca="1" si="16"/>
        <v>7</v>
      </c>
      <c r="D144" s="1">
        <f t="shared" ca="1" si="12"/>
        <v>15</v>
      </c>
      <c r="E144" s="6">
        <f t="shared" ca="1" si="17"/>
        <v>7</v>
      </c>
      <c r="F144" s="6">
        <f t="shared" ca="1" si="18"/>
        <v>1100</v>
      </c>
      <c r="G144" s="6">
        <f t="shared" ca="1" si="19"/>
        <v>0</v>
      </c>
      <c r="H144">
        <f t="shared" ca="1" si="13"/>
        <v>8</v>
      </c>
      <c r="R144">
        <f t="shared" ca="1" si="14"/>
        <v>7</v>
      </c>
      <c r="U144">
        <f t="shared" ca="1" si="15"/>
        <v>15</v>
      </c>
    </row>
    <row r="145" spans="1:21" x14ac:dyDescent="0.3">
      <c r="A145">
        <v>129</v>
      </c>
      <c r="B145" s="1">
        <f t="shared" ca="1" si="11"/>
        <v>7</v>
      </c>
      <c r="C145" s="6">
        <f t="shared" ca="1" si="16"/>
        <v>7</v>
      </c>
      <c r="D145" s="1">
        <f t="shared" ca="1" si="12"/>
        <v>15</v>
      </c>
      <c r="E145" s="6">
        <f t="shared" ca="1" si="17"/>
        <v>7</v>
      </c>
      <c r="F145" s="6">
        <f t="shared" ca="1" si="18"/>
        <v>1107</v>
      </c>
      <c r="G145" s="6">
        <f t="shared" ca="1" si="19"/>
        <v>0</v>
      </c>
      <c r="H145">
        <f t="shared" ca="1" si="13"/>
        <v>8</v>
      </c>
      <c r="R145">
        <f t="shared" ca="1" si="14"/>
        <v>7</v>
      </c>
      <c r="U145">
        <f t="shared" ca="1" si="15"/>
        <v>15</v>
      </c>
    </row>
    <row r="146" spans="1:21" x14ac:dyDescent="0.3">
      <c r="A146">
        <v>130</v>
      </c>
      <c r="B146" s="1">
        <f t="shared" ref="B146:B162" ca="1" si="20">R146</f>
        <v>7</v>
      </c>
      <c r="C146" s="6">
        <f t="shared" ca="1" si="16"/>
        <v>7</v>
      </c>
      <c r="D146" s="1">
        <f t="shared" ref="D146:D162" ca="1" si="21">U146</f>
        <v>10</v>
      </c>
      <c r="E146" s="6">
        <f t="shared" ca="1" si="17"/>
        <v>7</v>
      </c>
      <c r="F146" s="6">
        <f t="shared" ca="1" si="18"/>
        <v>1114</v>
      </c>
      <c r="G146" s="6">
        <f t="shared" ca="1" si="19"/>
        <v>0</v>
      </c>
      <c r="H146">
        <f t="shared" ref="H146:H162" ca="1" si="22">MAX(D146-C146,0)</f>
        <v>3</v>
      </c>
      <c r="R146">
        <f t="shared" ref="R146:R162" ca="1" si="23">VLOOKUP(RAND(),$Q$3:$R$6,2,TRUE)</f>
        <v>7</v>
      </c>
      <c r="U146">
        <f t="shared" ref="U146:U162" ca="1" si="24">VLOOKUP(RAND(),$T$3:$U$9,2,TRUE)</f>
        <v>10</v>
      </c>
    </row>
    <row r="147" spans="1:21" x14ac:dyDescent="0.3">
      <c r="A147">
        <v>131</v>
      </c>
      <c r="B147" s="1">
        <f t="shared" ca="1" si="20"/>
        <v>7</v>
      </c>
      <c r="C147" s="6">
        <f t="shared" ref="C147:C162" ca="1" si="25">G146+B147</f>
        <v>7</v>
      </c>
      <c r="D147" s="1">
        <f t="shared" ca="1" si="21"/>
        <v>15</v>
      </c>
      <c r="E147" s="6">
        <f t="shared" ref="E147:E162" ca="1" si="26">MIN(C147,D147)</f>
        <v>7</v>
      </c>
      <c r="F147" s="6">
        <f t="shared" ref="F147:F162" ca="1" si="27">F146+E147</f>
        <v>1121</v>
      </c>
      <c r="G147" s="6">
        <f t="shared" ref="G147:G162" ca="1" si="28">C147-E147</f>
        <v>0</v>
      </c>
      <c r="H147">
        <f t="shared" ca="1" si="22"/>
        <v>8</v>
      </c>
      <c r="R147">
        <f t="shared" ca="1" si="23"/>
        <v>7</v>
      </c>
      <c r="U147">
        <f t="shared" ca="1" si="24"/>
        <v>15</v>
      </c>
    </row>
    <row r="148" spans="1:21" x14ac:dyDescent="0.3">
      <c r="A148">
        <v>132</v>
      </c>
      <c r="B148" s="1">
        <f t="shared" ca="1" si="20"/>
        <v>7</v>
      </c>
      <c r="C148" s="6">
        <f t="shared" ca="1" si="25"/>
        <v>7</v>
      </c>
      <c r="D148" s="1">
        <f t="shared" ca="1" si="21"/>
        <v>10</v>
      </c>
      <c r="E148" s="6">
        <f t="shared" ca="1" si="26"/>
        <v>7</v>
      </c>
      <c r="F148" s="6">
        <f t="shared" ca="1" si="27"/>
        <v>1128</v>
      </c>
      <c r="G148" s="6">
        <f t="shared" ca="1" si="28"/>
        <v>0</v>
      </c>
      <c r="H148">
        <f t="shared" ca="1" si="22"/>
        <v>3</v>
      </c>
      <c r="R148">
        <f t="shared" ca="1" si="23"/>
        <v>7</v>
      </c>
      <c r="U148">
        <f t="shared" ca="1" si="24"/>
        <v>10</v>
      </c>
    </row>
    <row r="149" spans="1:21" x14ac:dyDescent="0.3">
      <c r="A149">
        <v>133</v>
      </c>
      <c r="B149" s="1">
        <f t="shared" ca="1" si="20"/>
        <v>12</v>
      </c>
      <c r="C149" s="6">
        <f t="shared" ca="1" si="25"/>
        <v>12</v>
      </c>
      <c r="D149" s="1">
        <f t="shared" ca="1" si="21"/>
        <v>10</v>
      </c>
      <c r="E149" s="6">
        <f t="shared" ca="1" si="26"/>
        <v>10</v>
      </c>
      <c r="F149" s="6">
        <f t="shared" ca="1" si="27"/>
        <v>1138</v>
      </c>
      <c r="G149" s="6">
        <f t="shared" ca="1" si="28"/>
        <v>2</v>
      </c>
      <c r="H149">
        <f t="shared" ca="1" si="22"/>
        <v>0</v>
      </c>
      <c r="R149">
        <f t="shared" ca="1" si="23"/>
        <v>12</v>
      </c>
      <c r="U149">
        <f t="shared" ca="1" si="24"/>
        <v>10</v>
      </c>
    </row>
    <row r="150" spans="1:21" x14ac:dyDescent="0.3">
      <c r="A150">
        <v>134</v>
      </c>
      <c r="B150" s="1">
        <f t="shared" ca="1" si="20"/>
        <v>5</v>
      </c>
      <c r="C150" s="6">
        <f t="shared" ca="1" si="25"/>
        <v>7</v>
      </c>
      <c r="D150" s="1">
        <f t="shared" ca="1" si="21"/>
        <v>6</v>
      </c>
      <c r="E150" s="6">
        <f t="shared" ca="1" si="26"/>
        <v>6</v>
      </c>
      <c r="F150" s="6">
        <f t="shared" ca="1" si="27"/>
        <v>1144</v>
      </c>
      <c r="G150" s="6">
        <f t="shared" ca="1" si="28"/>
        <v>1</v>
      </c>
      <c r="H150">
        <f t="shared" ca="1" si="22"/>
        <v>0</v>
      </c>
      <c r="R150">
        <f t="shared" ca="1" si="23"/>
        <v>5</v>
      </c>
      <c r="U150">
        <f t="shared" ca="1" si="24"/>
        <v>6</v>
      </c>
    </row>
    <row r="151" spans="1:21" x14ac:dyDescent="0.3">
      <c r="A151">
        <v>135</v>
      </c>
      <c r="B151" s="1">
        <f t="shared" ca="1" si="20"/>
        <v>12</v>
      </c>
      <c r="C151" s="6">
        <f t="shared" ca="1" si="25"/>
        <v>13</v>
      </c>
      <c r="D151" s="1">
        <f t="shared" ca="1" si="21"/>
        <v>15</v>
      </c>
      <c r="E151" s="6">
        <f t="shared" ca="1" si="26"/>
        <v>13</v>
      </c>
      <c r="F151" s="6">
        <f t="shared" ca="1" si="27"/>
        <v>1157</v>
      </c>
      <c r="G151" s="6">
        <f t="shared" ca="1" si="28"/>
        <v>0</v>
      </c>
      <c r="H151">
        <f t="shared" ca="1" si="22"/>
        <v>2</v>
      </c>
      <c r="R151">
        <f t="shared" ca="1" si="23"/>
        <v>12</v>
      </c>
      <c r="U151">
        <f t="shared" ca="1" si="24"/>
        <v>15</v>
      </c>
    </row>
    <row r="152" spans="1:21" x14ac:dyDescent="0.3">
      <c r="A152">
        <v>136</v>
      </c>
      <c r="B152" s="1">
        <f t="shared" ca="1" si="20"/>
        <v>12</v>
      </c>
      <c r="C152" s="6">
        <f t="shared" ca="1" si="25"/>
        <v>12</v>
      </c>
      <c r="D152" s="1">
        <f t="shared" ca="1" si="21"/>
        <v>10</v>
      </c>
      <c r="E152" s="6">
        <f t="shared" ca="1" si="26"/>
        <v>10</v>
      </c>
      <c r="F152" s="6">
        <f t="shared" ca="1" si="27"/>
        <v>1167</v>
      </c>
      <c r="G152" s="6">
        <f t="shared" ca="1" si="28"/>
        <v>2</v>
      </c>
      <c r="H152">
        <f t="shared" ca="1" si="22"/>
        <v>0</v>
      </c>
      <c r="R152">
        <f t="shared" ca="1" si="23"/>
        <v>12</v>
      </c>
      <c r="U152">
        <f t="shared" ca="1" si="24"/>
        <v>10</v>
      </c>
    </row>
    <row r="153" spans="1:21" x14ac:dyDescent="0.3">
      <c r="A153">
        <v>137</v>
      </c>
      <c r="B153" s="1">
        <f t="shared" ca="1" si="20"/>
        <v>7</v>
      </c>
      <c r="C153" s="6">
        <f t="shared" ca="1" si="25"/>
        <v>9</v>
      </c>
      <c r="D153" s="1">
        <f t="shared" ca="1" si="21"/>
        <v>8</v>
      </c>
      <c r="E153" s="6">
        <f t="shared" ca="1" si="26"/>
        <v>8</v>
      </c>
      <c r="F153" s="6">
        <f t="shared" ca="1" si="27"/>
        <v>1175</v>
      </c>
      <c r="G153" s="6">
        <f t="shared" ca="1" si="28"/>
        <v>1</v>
      </c>
      <c r="H153">
        <f t="shared" ca="1" si="22"/>
        <v>0</v>
      </c>
      <c r="R153">
        <f t="shared" ca="1" si="23"/>
        <v>7</v>
      </c>
      <c r="U153">
        <f t="shared" ca="1" si="24"/>
        <v>8</v>
      </c>
    </row>
    <row r="154" spans="1:21" x14ac:dyDescent="0.3">
      <c r="A154">
        <v>138</v>
      </c>
      <c r="B154" s="1">
        <f t="shared" ca="1" si="20"/>
        <v>7</v>
      </c>
      <c r="C154" s="6">
        <f t="shared" ca="1" si="25"/>
        <v>8</v>
      </c>
      <c r="D154" s="1">
        <f t="shared" ca="1" si="21"/>
        <v>10</v>
      </c>
      <c r="E154" s="6">
        <f t="shared" ca="1" si="26"/>
        <v>8</v>
      </c>
      <c r="F154" s="6">
        <f t="shared" ca="1" si="27"/>
        <v>1183</v>
      </c>
      <c r="G154" s="6">
        <f t="shared" ca="1" si="28"/>
        <v>0</v>
      </c>
      <c r="H154">
        <f t="shared" ca="1" si="22"/>
        <v>2</v>
      </c>
      <c r="R154">
        <f t="shared" ca="1" si="23"/>
        <v>7</v>
      </c>
      <c r="U154">
        <f t="shared" ca="1" si="24"/>
        <v>10</v>
      </c>
    </row>
    <row r="155" spans="1:21" x14ac:dyDescent="0.3">
      <c r="A155">
        <v>139</v>
      </c>
      <c r="B155" s="1">
        <f t="shared" ca="1" si="20"/>
        <v>12</v>
      </c>
      <c r="C155" s="6">
        <f t="shared" ca="1" si="25"/>
        <v>12</v>
      </c>
      <c r="D155" s="1">
        <f t="shared" ca="1" si="21"/>
        <v>15</v>
      </c>
      <c r="E155" s="6">
        <f t="shared" ca="1" si="26"/>
        <v>12</v>
      </c>
      <c r="F155" s="6">
        <f t="shared" ca="1" si="27"/>
        <v>1195</v>
      </c>
      <c r="G155" s="6">
        <f t="shared" ca="1" si="28"/>
        <v>0</v>
      </c>
      <c r="H155">
        <f t="shared" ca="1" si="22"/>
        <v>3</v>
      </c>
      <c r="R155">
        <f t="shared" ca="1" si="23"/>
        <v>12</v>
      </c>
      <c r="U155">
        <f t="shared" ca="1" si="24"/>
        <v>15</v>
      </c>
    </row>
    <row r="156" spans="1:21" x14ac:dyDescent="0.3">
      <c r="A156">
        <v>140</v>
      </c>
      <c r="B156" s="1">
        <f t="shared" ca="1" si="20"/>
        <v>7</v>
      </c>
      <c r="C156" s="6">
        <f t="shared" ca="1" si="25"/>
        <v>7</v>
      </c>
      <c r="D156" s="1">
        <f t="shared" ca="1" si="21"/>
        <v>10</v>
      </c>
      <c r="E156" s="6">
        <f t="shared" ca="1" si="26"/>
        <v>7</v>
      </c>
      <c r="F156" s="6">
        <f t="shared" ca="1" si="27"/>
        <v>1202</v>
      </c>
      <c r="G156" s="6">
        <f t="shared" ca="1" si="28"/>
        <v>0</v>
      </c>
      <c r="H156">
        <f t="shared" ca="1" si="22"/>
        <v>3</v>
      </c>
      <c r="R156">
        <f t="shared" ca="1" si="23"/>
        <v>7</v>
      </c>
      <c r="U156">
        <f t="shared" ca="1" si="24"/>
        <v>10</v>
      </c>
    </row>
    <row r="157" spans="1:21" x14ac:dyDescent="0.3">
      <c r="A157">
        <v>141</v>
      </c>
      <c r="B157" s="1">
        <f t="shared" ca="1" si="20"/>
        <v>9</v>
      </c>
      <c r="C157" s="6">
        <f t="shared" ca="1" si="25"/>
        <v>9</v>
      </c>
      <c r="D157" s="1">
        <f t="shared" ca="1" si="21"/>
        <v>15</v>
      </c>
      <c r="E157" s="6">
        <f t="shared" ca="1" si="26"/>
        <v>9</v>
      </c>
      <c r="F157" s="6">
        <f t="shared" ca="1" si="27"/>
        <v>1211</v>
      </c>
      <c r="G157" s="6">
        <f t="shared" ca="1" si="28"/>
        <v>0</v>
      </c>
      <c r="H157">
        <f t="shared" ca="1" si="22"/>
        <v>6</v>
      </c>
      <c r="R157">
        <f t="shared" ca="1" si="23"/>
        <v>9</v>
      </c>
      <c r="U157">
        <f t="shared" ca="1" si="24"/>
        <v>15</v>
      </c>
    </row>
    <row r="158" spans="1:21" x14ac:dyDescent="0.3">
      <c r="A158">
        <v>142</v>
      </c>
      <c r="B158" s="1">
        <f t="shared" ca="1" si="20"/>
        <v>7</v>
      </c>
      <c r="C158" s="6">
        <f t="shared" ca="1" si="25"/>
        <v>7</v>
      </c>
      <c r="D158" s="1">
        <f t="shared" ca="1" si="21"/>
        <v>10</v>
      </c>
      <c r="E158" s="6">
        <f t="shared" ca="1" si="26"/>
        <v>7</v>
      </c>
      <c r="F158" s="6">
        <f t="shared" ca="1" si="27"/>
        <v>1218</v>
      </c>
      <c r="G158" s="6">
        <f t="shared" ca="1" si="28"/>
        <v>0</v>
      </c>
      <c r="H158">
        <f t="shared" ca="1" si="22"/>
        <v>3</v>
      </c>
      <c r="R158">
        <f t="shared" ca="1" si="23"/>
        <v>7</v>
      </c>
      <c r="U158">
        <f t="shared" ca="1" si="24"/>
        <v>10</v>
      </c>
    </row>
    <row r="159" spans="1:21" x14ac:dyDescent="0.3">
      <c r="A159">
        <v>143</v>
      </c>
      <c r="B159" s="1">
        <f t="shared" ca="1" si="20"/>
        <v>9</v>
      </c>
      <c r="C159" s="6">
        <f t="shared" ca="1" si="25"/>
        <v>9</v>
      </c>
      <c r="D159" s="1">
        <f t="shared" ca="1" si="21"/>
        <v>8</v>
      </c>
      <c r="E159" s="6">
        <f t="shared" ca="1" si="26"/>
        <v>8</v>
      </c>
      <c r="F159" s="6">
        <f t="shared" ca="1" si="27"/>
        <v>1226</v>
      </c>
      <c r="G159" s="6">
        <f t="shared" ca="1" si="28"/>
        <v>1</v>
      </c>
      <c r="H159">
        <f t="shared" ca="1" si="22"/>
        <v>0</v>
      </c>
      <c r="R159">
        <f t="shared" ca="1" si="23"/>
        <v>9</v>
      </c>
      <c r="U159">
        <f t="shared" ca="1" si="24"/>
        <v>8</v>
      </c>
    </row>
    <row r="160" spans="1:21" x14ac:dyDescent="0.3">
      <c r="A160">
        <v>144</v>
      </c>
      <c r="B160" s="1">
        <f t="shared" ca="1" si="20"/>
        <v>12</v>
      </c>
      <c r="C160" s="6">
        <f t="shared" ca="1" si="25"/>
        <v>13</v>
      </c>
      <c r="D160" s="1">
        <f t="shared" ca="1" si="21"/>
        <v>15</v>
      </c>
      <c r="E160" s="6">
        <f t="shared" ca="1" si="26"/>
        <v>13</v>
      </c>
      <c r="F160" s="6">
        <f t="shared" ca="1" si="27"/>
        <v>1239</v>
      </c>
      <c r="G160" s="6">
        <f t="shared" ca="1" si="28"/>
        <v>0</v>
      </c>
      <c r="H160">
        <f t="shared" ca="1" si="22"/>
        <v>2</v>
      </c>
      <c r="R160">
        <f t="shared" ca="1" si="23"/>
        <v>12</v>
      </c>
      <c r="U160">
        <f t="shared" ca="1" si="24"/>
        <v>15</v>
      </c>
    </row>
    <row r="161" spans="1:21" x14ac:dyDescent="0.3">
      <c r="A161">
        <v>145</v>
      </c>
      <c r="B161" s="1">
        <f t="shared" ca="1" si="20"/>
        <v>12</v>
      </c>
      <c r="C161" s="6">
        <f t="shared" ca="1" si="25"/>
        <v>12</v>
      </c>
      <c r="D161" s="1">
        <f t="shared" ca="1" si="21"/>
        <v>6</v>
      </c>
      <c r="E161" s="6">
        <f t="shared" ca="1" si="26"/>
        <v>6</v>
      </c>
      <c r="F161" s="6">
        <f t="shared" ca="1" si="27"/>
        <v>1245</v>
      </c>
      <c r="G161" s="6">
        <f t="shared" ca="1" si="28"/>
        <v>6</v>
      </c>
      <c r="H161">
        <f t="shared" ca="1" si="22"/>
        <v>0</v>
      </c>
      <c r="R161">
        <f t="shared" ca="1" si="23"/>
        <v>12</v>
      </c>
      <c r="U161">
        <f t="shared" ca="1" si="24"/>
        <v>6</v>
      </c>
    </row>
    <row r="162" spans="1:21" x14ac:dyDescent="0.3">
      <c r="A162">
        <v>146</v>
      </c>
      <c r="B162" s="1">
        <f t="shared" ca="1" si="20"/>
        <v>7</v>
      </c>
      <c r="C162" s="6">
        <f t="shared" ca="1" si="25"/>
        <v>13</v>
      </c>
      <c r="D162" s="1">
        <f t="shared" ca="1" si="21"/>
        <v>10</v>
      </c>
      <c r="E162" s="6">
        <f t="shared" ca="1" si="26"/>
        <v>10</v>
      </c>
      <c r="F162" s="6">
        <f t="shared" ca="1" si="27"/>
        <v>1255</v>
      </c>
      <c r="G162" s="6">
        <f t="shared" ca="1" si="28"/>
        <v>3</v>
      </c>
      <c r="H162">
        <f t="shared" ca="1" si="22"/>
        <v>0</v>
      </c>
      <c r="R162">
        <f t="shared" ca="1" si="23"/>
        <v>7</v>
      </c>
      <c r="U162">
        <f t="shared" ca="1" si="24"/>
        <v>10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DFBB-D76E-43AA-9E37-01A42295A063}">
  <dimension ref="A1:AN162"/>
  <sheetViews>
    <sheetView workbookViewId="0">
      <selection activeCell="J44" sqref="J44"/>
    </sheetView>
  </sheetViews>
  <sheetFormatPr defaultRowHeight="14.4" x14ac:dyDescent="0.3"/>
  <sheetData>
    <row r="1" spans="1:21" x14ac:dyDescent="0.3">
      <c r="A1" t="s">
        <v>8</v>
      </c>
      <c r="B1">
        <v>8</v>
      </c>
      <c r="C1">
        <v>12</v>
      </c>
      <c r="D1">
        <v>16</v>
      </c>
      <c r="E1">
        <v>20</v>
      </c>
    </row>
    <row r="2" spans="1:21" x14ac:dyDescent="0.3">
      <c r="A2" t="s">
        <v>7</v>
      </c>
      <c r="B2">
        <v>0.2</v>
      </c>
      <c r="C2">
        <v>0.4</v>
      </c>
      <c r="D2">
        <v>0.2</v>
      </c>
      <c r="E2">
        <v>0.2</v>
      </c>
      <c r="J2" t="s">
        <v>8</v>
      </c>
      <c r="K2" t="s">
        <v>7</v>
      </c>
      <c r="M2" t="s">
        <v>1</v>
      </c>
      <c r="N2" t="s">
        <v>7</v>
      </c>
    </row>
    <row r="3" spans="1:21" x14ac:dyDescent="0.3">
      <c r="J3">
        <v>8</v>
      </c>
      <c r="K3">
        <v>0.2</v>
      </c>
      <c r="M3">
        <v>7</v>
      </c>
      <c r="N3">
        <v>0.3</v>
      </c>
      <c r="Q3">
        <v>0</v>
      </c>
      <c r="R3">
        <v>8</v>
      </c>
      <c r="T3">
        <v>0</v>
      </c>
      <c r="U3">
        <v>7</v>
      </c>
    </row>
    <row r="4" spans="1:21" x14ac:dyDescent="0.3">
      <c r="A4" t="s">
        <v>1</v>
      </c>
      <c r="B4">
        <v>7</v>
      </c>
      <c r="C4">
        <v>11</v>
      </c>
      <c r="D4">
        <v>15</v>
      </c>
      <c r="E4">
        <v>18</v>
      </c>
      <c r="F4">
        <v>20</v>
      </c>
      <c r="G4">
        <v>22</v>
      </c>
      <c r="H4">
        <v>24</v>
      </c>
      <c r="J4">
        <v>12</v>
      </c>
      <c r="K4">
        <v>0.4</v>
      </c>
      <c r="M4">
        <v>11</v>
      </c>
      <c r="N4">
        <v>0.2</v>
      </c>
      <c r="Q4">
        <v>0.2</v>
      </c>
      <c r="R4">
        <v>12</v>
      </c>
      <c r="T4">
        <v>0.3</v>
      </c>
      <c r="U4">
        <v>11</v>
      </c>
    </row>
    <row r="5" spans="1:21" x14ac:dyDescent="0.3">
      <c r="A5" t="s">
        <v>7</v>
      </c>
      <c r="B5">
        <v>0.3</v>
      </c>
      <c r="C5">
        <v>0.2</v>
      </c>
      <c r="D5">
        <v>0.1</v>
      </c>
      <c r="E5">
        <v>0.15</v>
      </c>
      <c r="F5">
        <v>0.15</v>
      </c>
      <c r="G5">
        <v>0.05</v>
      </c>
      <c r="H5">
        <v>0.05</v>
      </c>
      <c r="J5">
        <v>16</v>
      </c>
      <c r="K5">
        <v>0.2</v>
      </c>
      <c r="M5">
        <v>15</v>
      </c>
      <c r="N5">
        <v>0.1</v>
      </c>
      <c r="Q5">
        <v>0.60000000000000009</v>
      </c>
      <c r="R5">
        <v>16</v>
      </c>
      <c r="T5">
        <v>0.5</v>
      </c>
      <c r="U5">
        <v>15</v>
      </c>
    </row>
    <row r="6" spans="1:21" x14ac:dyDescent="0.3">
      <c r="J6">
        <v>30</v>
      </c>
      <c r="K6">
        <v>0.2</v>
      </c>
      <c r="M6">
        <v>18</v>
      </c>
      <c r="N6">
        <v>0.15</v>
      </c>
      <c r="Q6">
        <v>0.8</v>
      </c>
      <c r="R6">
        <v>20</v>
      </c>
      <c r="T6">
        <v>0.6</v>
      </c>
      <c r="U6">
        <v>18</v>
      </c>
    </row>
    <row r="7" spans="1:21" x14ac:dyDescent="0.3">
      <c r="M7">
        <v>20</v>
      </c>
      <c r="N7">
        <v>0.15</v>
      </c>
      <c r="Q7">
        <v>1</v>
      </c>
      <c r="T7">
        <v>0.75</v>
      </c>
      <c r="U7">
        <v>20</v>
      </c>
    </row>
    <row r="8" spans="1:21" x14ac:dyDescent="0.3">
      <c r="M8">
        <v>22</v>
      </c>
      <c r="N8">
        <v>0.05</v>
      </c>
      <c r="T8">
        <v>0.9</v>
      </c>
      <c r="U8">
        <v>22</v>
      </c>
    </row>
    <row r="9" spans="1:21" x14ac:dyDescent="0.3">
      <c r="A9" t="s">
        <v>12</v>
      </c>
      <c r="B9">
        <v>7</v>
      </c>
      <c r="C9">
        <v>11</v>
      </c>
      <c r="D9">
        <v>15</v>
      </c>
      <c r="E9">
        <v>18</v>
      </c>
      <c r="F9">
        <v>20</v>
      </c>
      <c r="G9">
        <v>22</v>
      </c>
      <c r="H9">
        <v>24</v>
      </c>
      <c r="J9">
        <v>15.600000000000001</v>
      </c>
      <c r="M9">
        <v>24</v>
      </c>
      <c r="N9">
        <v>0.05</v>
      </c>
      <c r="T9">
        <v>0.95000000000000007</v>
      </c>
      <c r="U9">
        <v>24</v>
      </c>
    </row>
    <row r="10" spans="1:21" x14ac:dyDescent="0.3">
      <c r="B10">
        <v>0.3</v>
      </c>
      <c r="C10">
        <v>0.5</v>
      </c>
      <c r="D10">
        <v>0.6</v>
      </c>
      <c r="E10">
        <v>0.75</v>
      </c>
      <c r="F10">
        <v>0.9</v>
      </c>
      <c r="G10">
        <v>0.95000000000000007</v>
      </c>
      <c r="H10">
        <v>1</v>
      </c>
      <c r="T10">
        <v>1</v>
      </c>
    </row>
    <row r="11" spans="1:21" x14ac:dyDescent="0.3">
      <c r="M11">
        <v>13.8</v>
      </c>
    </row>
    <row r="14" spans="1:21" x14ac:dyDescent="0.3">
      <c r="M14">
        <v>7</v>
      </c>
    </row>
    <row r="16" spans="1:21" x14ac:dyDescent="0.3">
      <c r="B16" t="s">
        <v>5</v>
      </c>
      <c r="C16" t="s">
        <v>0</v>
      </c>
      <c r="D16" t="s">
        <v>1</v>
      </c>
      <c r="E16" t="s">
        <v>2</v>
      </c>
      <c r="F16" t="s">
        <v>6</v>
      </c>
      <c r="G16" t="s">
        <v>3</v>
      </c>
    </row>
    <row r="17" spans="2:40" x14ac:dyDescent="0.3">
      <c r="B17">
        <v>20</v>
      </c>
      <c r="C17">
        <v>20</v>
      </c>
      <c r="D17">
        <v>7</v>
      </c>
      <c r="E17">
        <v>27</v>
      </c>
      <c r="F17">
        <v>0</v>
      </c>
      <c r="G17">
        <v>20</v>
      </c>
      <c r="R17">
        <v>20</v>
      </c>
      <c r="U17">
        <v>7</v>
      </c>
      <c r="W17">
        <v>20</v>
      </c>
      <c r="X17">
        <v>7</v>
      </c>
      <c r="Z17">
        <v>20</v>
      </c>
      <c r="AA17">
        <v>12</v>
      </c>
      <c r="AB17">
        <v>12</v>
      </c>
      <c r="AC17">
        <v>20</v>
      </c>
      <c r="AD17">
        <v>16</v>
      </c>
      <c r="AE17">
        <v>8</v>
      </c>
      <c r="AF17">
        <v>16</v>
      </c>
      <c r="AG17">
        <v>12</v>
      </c>
      <c r="AH17">
        <v>12</v>
      </c>
      <c r="AI17">
        <v>8</v>
      </c>
      <c r="AJ17">
        <v>8</v>
      </c>
      <c r="AK17">
        <v>16</v>
      </c>
      <c r="AL17">
        <v>12</v>
      </c>
      <c r="AM17">
        <v>12</v>
      </c>
      <c r="AN17">
        <v>16</v>
      </c>
    </row>
    <row r="18" spans="2:40" x14ac:dyDescent="0.3">
      <c r="B18">
        <v>32</v>
      </c>
      <c r="C18">
        <v>32</v>
      </c>
      <c r="D18">
        <v>24</v>
      </c>
      <c r="E18">
        <v>56</v>
      </c>
      <c r="F18">
        <v>0</v>
      </c>
      <c r="G18">
        <v>5</v>
      </c>
      <c r="R18">
        <v>12</v>
      </c>
      <c r="U18">
        <v>24</v>
      </c>
      <c r="W18">
        <v>12</v>
      </c>
      <c r="X18">
        <v>24</v>
      </c>
      <c r="Z18">
        <v>7</v>
      </c>
      <c r="AA18">
        <v>24</v>
      </c>
      <c r="AB18">
        <v>11</v>
      </c>
      <c r="AC18">
        <v>22</v>
      </c>
      <c r="AD18">
        <v>11</v>
      </c>
      <c r="AE18">
        <v>18</v>
      </c>
      <c r="AF18">
        <v>18</v>
      </c>
      <c r="AG18">
        <v>11</v>
      </c>
      <c r="AH18">
        <v>20</v>
      </c>
      <c r="AI18">
        <v>11</v>
      </c>
      <c r="AJ18">
        <v>7</v>
      </c>
      <c r="AK18">
        <v>7</v>
      </c>
      <c r="AL18">
        <v>7</v>
      </c>
      <c r="AM18">
        <v>18</v>
      </c>
      <c r="AN18">
        <v>18</v>
      </c>
    </row>
    <row r="19" spans="2:40" x14ac:dyDescent="0.3">
      <c r="B19">
        <v>44</v>
      </c>
      <c r="C19">
        <v>56</v>
      </c>
      <c r="D19">
        <v>11</v>
      </c>
      <c r="E19">
        <v>67</v>
      </c>
      <c r="F19">
        <v>12</v>
      </c>
      <c r="G19">
        <v>0</v>
      </c>
      <c r="R19">
        <v>12</v>
      </c>
      <c r="U19">
        <v>11</v>
      </c>
      <c r="W19">
        <v>12</v>
      </c>
      <c r="X19">
        <v>11</v>
      </c>
    </row>
    <row r="20" spans="2:40" x14ac:dyDescent="0.3">
      <c r="B20">
        <v>64</v>
      </c>
      <c r="C20">
        <v>67</v>
      </c>
      <c r="D20">
        <v>22</v>
      </c>
      <c r="E20">
        <v>89</v>
      </c>
      <c r="F20">
        <v>3</v>
      </c>
      <c r="G20">
        <v>0</v>
      </c>
      <c r="R20">
        <v>20</v>
      </c>
      <c r="U20">
        <v>22</v>
      </c>
      <c r="W20">
        <v>20</v>
      </c>
      <c r="X20">
        <v>22</v>
      </c>
    </row>
    <row r="21" spans="2:40" x14ac:dyDescent="0.3">
      <c r="B21">
        <v>80</v>
      </c>
      <c r="C21">
        <v>89</v>
      </c>
      <c r="D21">
        <v>11</v>
      </c>
      <c r="E21">
        <v>100</v>
      </c>
      <c r="F21">
        <v>9</v>
      </c>
      <c r="G21">
        <v>0</v>
      </c>
      <c r="R21">
        <v>16</v>
      </c>
      <c r="U21">
        <v>11</v>
      </c>
      <c r="W21">
        <v>16</v>
      </c>
      <c r="X21">
        <v>11</v>
      </c>
    </row>
    <row r="22" spans="2:40" x14ac:dyDescent="0.3">
      <c r="B22">
        <v>88</v>
      </c>
      <c r="C22">
        <v>100</v>
      </c>
      <c r="D22">
        <v>18</v>
      </c>
      <c r="E22">
        <v>118</v>
      </c>
      <c r="F22">
        <v>12</v>
      </c>
      <c r="G22">
        <v>0</v>
      </c>
      <c r="R22">
        <v>8</v>
      </c>
      <c r="U22">
        <v>18</v>
      </c>
      <c r="W22">
        <v>8</v>
      </c>
      <c r="X22">
        <v>18</v>
      </c>
    </row>
    <row r="23" spans="2:40" x14ac:dyDescent="0.3">
      <c r="B23">
        <v>104</v>
      </c>
      <c r="C23">
        <v>118</v>
      </c>
      <c r="D23">
        <v>18</v>
      </c>
      <c r="E23">
        <v>136</v>
      </c>
      <c r="F23">
        <v>14</v>
      </c>
      <c r="G23">
        <v>0</v>
      </c>
      <c r="R23">
        <v>16</v>
      </c>
      <c r="U23">
        <v>18</v>
      </c>
      <c r="W23">
        <v>16</v>
      </c>
      <c r="X23">
        <v>18</v>
      </c>
    </row>
    <row r="24" spans="2:40" x14ac:dyDescent="0.3">
      <c r="B24">
        <v>116</v>
      </c>
      <c r="C24">
        <v>136</v>
      </c>
      <c r="D24">
        <v>11</v>
      </c>
      <c r="E24">
        <v>147</v>
      </c>
      <c r="F24">
        <v>20</v>
      </c>
      <c r="G24">
        <v>0</v>
      </c>
      <c r="R24">
        <v>12</v>
      </c>
      <c r="U24">
        <v>11</v>
      </c>
      <c r="W24">
        <v>12</v>
      </c>
      <c r="X24">
        <v>11</v>
      </c>
    </row>
    <row r="25" spans="2:40" x14ac:dyDescent="0.3">
      <c r="B25">
        <v>128</v>
      </c>
      <c r="C25">
        <v>147</v>
      </c>
      <c r="D25">
        <v>20</v>
      </c>
      <c r="E25">
        <v>167</v>
      </c>
      <c r="F25">
        <v>19</v>
      </c>
      <c r="G25">
        <v>0</v>
      </c>
      <c r="R25">
        <v>12</v>
      </c>
      <c r="U25">
        <v>20</v>
      </c>
      <c r="W25">
        <v>12</v>
      </c>
      <c r="X25">
        <v>20</v>
      </c>
    </row>
    <row r="26" spans="2:40" x14ac:dyDescent="0.3">
      <c r="B26">
        <v>136</v>
      </c>
      <c r="C26">
        <v>167</v>
      </c>
      <c r="D26">
        <v>11</v>
      </c>
      <c r="E26">
        <v>178</v>
      </c>
      <c r="F26">
        <v>31</v>
      </c>
      <c r="G26">
        <v>0</v>
      </c>
      <c r="R26">
        <v>8</v>
      </c>
      <c r="U26">
        <v>11</v>
      </c>
      <c r="W26">
        <v>8</v>
      </c>
      <c r="X26">
        <v>11</v>
      </c>
    </row>
    <row r="27" spans="2:40" x14ac:dyDescent="0.3">
      <c r="B27">
        <v>144</v>
      </c>
      <c r="C27">
        <v>178</v>
      </c>
      <c r="D27">
        <v>7</v>
      </c>
      <c r="E27">
        <v>185</v>
      </c>
      <c r="F27">
        <v>34</v>
      </c>
      <c r="G27">
        <v>0</v>
      </c>
      <c r="R27">
        <v>8</v>
      </c>
      <c r="U27">
        <v>7</v>
      </c>
      <c r="W27">
        <v>8</v>
      </c>
      <c r="X27">
        <v>7</v>
      </c>
    </row>
    <row r="28" spans="2:40" x14ac:dyDescent="0.3">
      <c r="B28">
        <v>160</v>
      </c>
      <c r="C28">
        <v>185</v>
      </c>
      <c r="D28">
        <v>7</v>
      </c>
      <c r="E28">
        <v>192</v>
      </c>
      <c r="F28">
        <v>25</v>
      </c>
      <c r="G28">
        <v>0</v>
      </c>
      <c r="R28">
        <v>16</v>
      </c>
      <c r="U28">
        <v>7</v>
      </c>
      <c r="W28">
        <v>16</v>
      </c>
      <c r="X28">
        <v>7</v>
      </c>
    </row>
    <row r="29" spans="2:40" x14ac:dyDescent="0.3">
      <c r="B29">
        <v>172</v>
      </c>
      <c r="C29">
        <v>192</v>
      </c>
      <c r="D29">
        <v>7</v>
      </c>
      <c r="E29">
        <v>199</v>
      </c>
      <c r="F29">
        <v>20</v>
      </c>
      <c r="G29">
        <v>0</v>
      </c>
      <c r="R29">
        <v>12</v>
      </c>
      <c r="U29">
        <v>7</v>
      </c>
      <c r="W29">
        <v>12</v>
      </c>
      <c r="X29">
        <v>7</v>
      </c>
    </row>
    <row r="30" spans="2:40" x14ac:dyDescent="0.3">
      <c r="B30">
        <v>184</v>
      </c>
      <c r="C30">
        <v>199</v>
      </c>
      <c r="D30">
        <v>18</v>
      </c>
      <c r="E30">
        <v>217</v>
      </c>
      <c r="F30">
        <v>15</v>
      </c>
      <c r="G30">
        <v>0</v>
      </c>
      <c r="R30">
        <v>12</v>
      </c>
      <c r="U30">
        <v>18</v>
      </c>
      <c r="W30">
        <v>12</v>
      </c>
      <c r="X30">
        <v>18</v>
      </c>
    </row>
    <row r="31" spans="2:40" x14ac:dyDescent="0.3">
      <c r="B31">
        <v>200</v>
      </c>
      <c r="C31">
        <v>217</v>
      </c>
      <c r="D31">
        <v>18</v>
      </c>
      <c r="E31">
        <v>235</v>
      </c>
      <c r="F31">
        <v>17</v>
      </c>
      <c r="G31">
        <v>0</v>
      </c>
      <c r="R31">
        <v>16</v>
      </c>
      <c r="U31">
        <v>18</v>
      </c>
      <c r="W31">
        <v>16</v>
      </c>
      <c r="X31">
        <v>18</v>
      </c>
    </row>
    <row r="32" spans="2:40" x14ac:dyDescent="0.3">
      <c r="B32">
        <v>208</v>
      </c>
      <c r="C32">
        <v>235</v>
      </c>
      <c r="D32">
        <v>20</v>
      </c>
      <c r="E32">
        <v>255</v>
      </c>
      <c r="F32">
        <v>27</v>
      </c>
      <c r="G32">
        <v>0</v>
      </c>
      <c r="R32">
        <v>8</v>
      </c>
      <c r="U32">
        <v>20</v>
      </c>
    </row>
    <row r="33" spans="2:21" x14ac:dyDescent="0.3">
      <c r="B33">
        <v>220</v>
      </c>
      <c r="C33">
        <v>255</v>
      </c>
      <c r="D33">
        <v>7</v>
      </c>
      <c r="E33">
        <v>262</v>
      </c>
      <c r="F33">
        <v>35</v>
      </c>
      <c r="G33">
        <v>0</v>
      </c>
      <c r="R33">
        <v>12</v>
      </c>
      <c r="U33">
        <v>7</v>
      </c>
    </row>
    <row r="34" spans="2:21" x14ac:dyDescent="0.3">
      <c r="B34">
        <v>240</v>
      </c>
      <c r="C34">
        <v>262</v>
      </c>
      <c r="D34">
        <v>7</v>
      </c>
      <c r="E34">
        <v>269</v>
      </c>
      <c r="F34">
        <v>22</v>
      </c>
      <c r="G34">
        <v>0</v>
      </c>
      <c r="R34">
        <v>20</v>
      </c>
      <c r="U34">
        <v>7</v>
      </c>
    </row>
    <row r="35" spans="2:21" x14ac:dyDescent="0.3">
      <c r="B35">
        <v>256</v>
      </c>
      <c r="C35">
        <v>269</v>
      </c>
      <c r="D35">
        <v>15</v>
      </c>
      <c r="E35">
        <v>284</v>
      </c>
      <c r="F35">
        <v>13</v>
      </c>
      <c r="G35">
        <v>0</v>
      </c>
      <c r="R35">
        <v>16</v>
      </c>
      <c r="U35">
        <v>15</v>
      </c>
    </row>
    <row r="36" spans="2:21" x14ac:dyDescent="0.3">
      <c r="B36">
        <v>268</v>
      </c>
      <c r="C36">
        <v>284</v>
      </c>
      <c r="D36">
        <v>7</v>
      </c>
      <c r="E36">
        <v>291</v>
      </c>
      <c r="F36">
        <v>16</v>
      </c>
      <c r="G36">
        <v>0</v>
      </c>
      <c r="R36">
        <v>12</v>
      </c>
      <c r="U36">
        <v>7</v>
      </c>
    </row>
    <row r="37" spans="2:21" x14ac:dyDescent="0.3">
      <c r="B37">
        <v>280</v>
      </c>
      <c r="C37">
        <v>291</v>
      </c>
      <c r="D37">
        <v>7</v>
      </c>
      <c r="E37">
        <v>298</v>
      </c>
      <c r="F37">
        <v>11</v>
      </c>
      <c r="G37">
        <v>0</v>
      </c>
      <c r="R37">
        <v>12</v>
      </c>
      <c r="U37">
        <v>7</v>
      </c>
    </row>
    <row r="38" spans="2:21" x14ac:dyDescent="0.3">
      <c r="B38">
        <v>300</v>
      </c>
      <c r="C38">
        <v>300</v>
      </c>
      <c r="D38">
        <v>7</v>
      </c>
      <c r="E38">
        <v>307</v>
      </c>
      <c r="F38">
        <v>0</v>
      </c>
      <c r="G38">
        <v>2</v>
      </c>
      <c r="R38">
        <v>20</v>
      </c>
      <c r="U38">
        <v>7</v>
      </c>
    </row>
    <row r="39" spans="2:21" x14ac:dyDescent="0.3">
      <c r="B39">
        <v>312</v>
      </c>
      <c r="C39">
        <v>312</v>
      </c>
      <c r="D39">
        <v>20</v>
      </c>
      <c r="E39">
        <v>332</v>
      </c>
      <c r="F39">
        <v>0</v>
      </c>
      <c r="G39">
        <v>5</v>
      </c>
      <c r="R39">
        <v>12</v>
      </c>
      <c r="U39">
        <v>20</v>
      </c>
    </row>
    <row r="40" spans="2:21" x14ac:dyDescent="0.3">
      <c r="B40">
        <v>328</v>
      </c>
      <c r="C40">
        <v>332</v>
      </c>
      <c r="D40">
        <v>11</v>
      </c>
      <c r="E40">
        <v>343</v>
      </c>
      <c r="F40">
        <v>4</v>
      </c>
      <c r="G40">
        <v>0</v>
      </c>
      <c r="R40">
        <v>16</v>
      </c>
      <c r="U40">
        <v>11</v>
      </c>
    </row>
    <row r="41" spans="2:21" x14ac:dyDescent="0.3">
      <c r="B41">
        <v>344</v>
      </c>
      <c r="C41">
        <v>344</v>
      </c>
      <c r="D41">
        <v>7</v>
      </c>
      <c r="E41">
        <v>351</v>
      </c>
      <c r="F41">
        <v>0</v>
      </c>
      <c r="G41">
        <v>1</v>
      </c>
      <c r="R41">
        <v>16</v>
      </c>
      <c r="U41">
        <v>7</v>
      </c>
    </row>
    <row r="42" spans="2:21" x14ac:dyDescent="0.3">
      <c r="B42">
        <v>364</v>
      </c>
      <c r="C42">
        <v>364</v>
      </c>
      <c r="D42">
        <v>18</v>
      </c>
      <c r="E42">
        <v>382</v>
      </c>
      <c r="F42">
        <v>0</v>
      </c>
      <c r="G42">
        <v>13</v>
      </c>
      <c r="R42">
        <v>20</v>
      </c>
      <c r="U42">
        <v>18</v>
      </c>
    </row>
    <row r="43" spans="2:21" x14ac:dyDescent="0.3">
      <c r="B43">
        <v>380</v>
      </c>
      <c r="C43">
        <v>382</v>
      </c>
      <c r="D43">
        <v>7</v>
      </c>
      <c r="E43">
        <v>389</v>
      </c>
      <c r="F43">
        <v>2</v>
      </c>
      <c r="G43">
        <v>0</v>
      </c>
      <c r="R43">
        <v>16</v>
      </c>
      <c r="U43">
        <v>7</v>
      </c>
    </row>
    <row r="44" spans="2:21" x14ac:dyDescent="0.3">
      <c r="B44">
        <v>392</v>
      </c>
      <c r="C44">
        <v>392</v>
      </c>
      <c r="D44">
        <v>7</v>
      </c>
      <c r="E44">
        <v>399</v>
      </c>
      <c r="F44">
        <v>0</v>
      </c>
      <c r="G44">
        <v>3</v>
      </c>
      <c r="R44">
        <v>12</v>
      </c>
      <c r="U44">
        <v>7</v>
      </c>
    </row>
    <row r="45" spans="2:21" x14ac:dyDescent="0.3">
      <c r="B45">
        <v>412</v>
      </c>
      <c r="C45">
        <v>412</v>
      </c>
      <c r="D45">
        <v>11</v>
      </c>
      <c r="E45">
        <v>423</v>
      </c>
      <c r="F45">
        <v>0</v>
      </c>
      <c r="G45">
        <v>13</v>
      </c>
      <c r="R45">
        <v>20</v>
      </c>
      <c r="U45">
        <v>11</v>
      </c>
    </row>
    <row r="46" spans="2:21" x14ac:dyDescent="0.3">
      <c r="B46">
        <v>428</v>
      </c>
      <c r="C46">
        <v>428</v>
      </c>
      <c r="D46">
        <v>15</v>
      </c>
      <c r="E46">
        <v>443</v>
      </c>
      <c r="F46">
        <v>0</v>
      </c>
      <c r="G46">
        <v>5</v>
      </c>
      <c r="R46">
        <v>16</v>
      </c>
      <c r="U46">
        <v>15</v>
      </c>
    </row>
    <row r="47" spans="2:21" x14ac:dyDescent="0.3">
      <c r="B47">
        <v>448</v>
      </c>
      <c r="C47">
        <v>448</v>
      </c>
      <c r="D47">
        <v>11</v>
      </c>
      <c r="E47">
        <v>459</v>
      </c>
      <c r="F47">
        <v>0</v>
      </c>
      <c r="G47">
        <v>5</v>
      </c>
      <c r="R47">
        <v>20</v>
      </c>
      <c r="U47">
        <v>11</v>
      </c>
    </row>
    <row r="48" spans="2:21" x14ac:dyDescent="0.3">
      <c r="B48">
        <v>468</v>
      </c>
      <c r="C48">
        <v>468</v>
      </c>
      <c r="D48">
        <v>24</v>
      </c>
      <c r="E48">
        <v>492</v>
      </c>
      <c r="F48">
        <v>0</v>
      </c>
      <c r="G48">
        <v>9</v>
      </c>
      <c r="R48">
        <v>20</v>
      </c>
      <c r="U48">
        <v>24</v>
      </c>
    </row>
    <row r="49" spans="2:21" x14ac:dyDescent="0.3">
      <c r="B49">
        <v>480</v>
      </c>
      <c r="C49">
        <v>492</v>
      </c>
      <c r="D49">
        <v>7</v>
      </c>
      <c r="E49">
        <v>499</v>
      </c>
      <c r="F49">
        <v>12</v>
      </c>
      <c r="G49">
        <v>0</v>
      </c>
      <c r="R49">
        <v>12</v>
      </c>
      <c r="U49">
        <v>7</v>
      </c>
    </row>
    <row r="50" spans="2:21" x14ac:dyDescent="0.3">
      <c r="B50">
        <v>488</v>
      </c>
      <c r="C50">
        <v>499</v>
      </c>
      <c r="D50">
        <v>20</v>
      </c>
      <c r="E50">
        <v>519</v>
      </c>
      <c r="F50">
        <v>11</v>
      </c>
      <c r="G50">
        <v>0</v>
      </c>
      <c r="R50">
        <v>8</v>
      </c>
      <c r="U50">
        <v>20</v>
      </c>
    </row>
    <row r="51" spans="2:21" x14ac:dyDescent="0.3">
      <c r="B51">
        <v>500</v>
      </c>
      <c r="C51">
        <v>519</v>
      </c>
      <c r="D51">
        <v>7</v>
      </c>
      <c r="E51">
        <v>526</v>
      </c>
      <c r="F51">
        <v>19</v>
      </c>
      <c r="G51">
        <v>0</v>
      </c>
      <c r="R51">
        <v>12</v>
      </c>
      <c r="U51">
        <v>7</v>
      </c>
    </row>
    <row r="52" spans="2:21" x14ac:dyDescent="0.3">
      <c r="B52">
        <v>512</v>
      </c>
      <c r="C52">
        <v>526</v>
      </c>
      <c r="D52">
        <v>15</v>
      </c>
      <c r="E52">
        <v>541</v>
      </c>
      <c r="F52">
        <v>14</v>
      </c>
      <c r="G52">
        <v>0</v>
      </c>
      <c r="R52">
        <v>12</v>
      </c>
      <c r="U52">
        <v>15</v>
      </c>
    </row>
    <row r="53" spans="2:21" x14ac:dyDescent="0.3">
      <c r="B53">
        <v>524</v>
      </c>
      <c r="C53">
        <v>541</v>
      </c>
      <c r="D53">
        <v>7</v>
      </c>
      <c r="E53">
        <v>548</v>
      </c>
      <c r="F53">
        <v>17</v>
      </c>
      <c r="G53">
        <v>0</v>
      </c>
      <c r="R53">
        <v>12</v>
      </c>
      <c r="U53">
        <v>7</v>
      </c>
    </row>
    <row r="54" spans="2:21" x14ac:dyDescent="0.3">
      <c r="B54">
        <v>536</v>
      </c>
      <c r="C54">
        <v>548</v>
      </c>
      <c r="D54">
        <v>22</v>
      </c>
      <c r="E54">
        <v>570</v>
      </c>
      <c r="F54">
        <v>12</v>
      </c>
      <c r="G54">
        <v>0</v>
      </c>
      <c r="R54">
        <v>12</v>
      </c>
      <c r="U54">
        <v>22</v>
      </c>
    </row>
    <row r="55" spans="2:21" x14ac:dyDescent="0.3">
      <c r="B55">
        <v>544</v>
      </c>
      <c r="C55">
        <v>570</v>
      </c>
      <c r="D55">
        <v>15</v>
      </c>
      <c r="E55">
        <v>585</v>
      </c>
      <c r="F55">
        <v>26</v>
      </c>
      <c r="G55">
        <v>0</v>
      </c>
      <c r="R55">
        <v>8</v>
      </c>
      <c r="U55">
        <v>15</v>
      </c>
    </row>
    <row r="56" spans="2:21" x14ac:dyDescent="0.3">
      <c r="B56">
        <v>560</v>
      </c>
      <c r="C56">
        <v>585</v>
      </c>
      <c r="D56">
        <v>11</v>
      </c>
      <c r="E56">
        <v>596</v>
      </c>
      <c r="F56">
        <v>25</v>
      </c>
      <c r="G56">
        <v>0</v>
      </c>
      <c r="R56">
        <v>16</v>
      </c>
      <c r="U56">
        <v>11</v>
      </c>
    </row>
    <row r="57" spans="2:21" x14ac:dyDescent="0.3">
      <c r="B57">
        <v>572</v>
      </c>
      <c r="C57">
        <v>596</v>
      </c>
      <c r="D57">
        <v>15</v>
      </c>
      <c r="E57">
        <v>611</v>
      </c>
      <c r="F57">
        <v>24</v>
      </c>
      <c r="G57">
        <v>0</v>
      </c>
      <c r="R57">
        <v>12</v>
      </c>
      <c r="U57">
        <v>15</v>
      </c>
    </row>
    <row r="58" spans="2:21" x14ac:dyDescent="0.3">
      <c r="B58">
        <v>580</v>
      </c>
      <c r="C58">
        <v>611</v>
      </c>
      <c r="D58">
        <v>7</v>
      </c>
      <c r="E58">
        <v>618</v>
      </c>
      <c r="F58">
        <v>31</v>
      </c>
      <c r="G58">
        <v>0</v>
      </c>
      <c r="R58">
        <v>8</v>
      </c>
      <c r="U58">
        <v>7</v>
      </c>
    </row>
    <row r="59" spans="2:21" x14ac:dyDescent="0.3">
      <c r="B59">
        <v>588</v>
      </c>
      <c r="C59">
        <v>618</v>
      </c>
      <c r="D59">
        <v>7</v>
      </c>
      <c r="E59">
        <v>625</v>
      </c>
      <c r="F59">
        <v>30</v>
      </c>
      <c r="G59">
        <v>0</v>
      </c>
      <c r="R59">
        <v>8</v>
      </c>
      <c r="U59">
        <v>7</v>
      </c>
    </row>
    <row r="60" spans="2:21" x14ac:dyDescent="0.3">
      <c r="B60">
        <v>600</v>
      </c>
      <c r="C60">
        <v>625</v>
      </c>
      <c r="D60">
        <v>24</v>
      </c>
      <c r="E60">
        <v>649</v>
      </c>
      <c r="F60">
        <v>25</v>
      </c>
      <c r="G60">
        <v>0</v>
      </c>
      <c r="R60">
        <v>12</v>
      </c>
      <c r="U60">
        <v>24</v>
      </c>
    </row>
    <row r="61" spans="2:21" x14ac:dyDescent="0.3">
      <c r="B61">
        <v>608</v>
      </c>
      <c r="C61">
        <v>649</v>
      </c>
      <c r="D61">
        <v>11</v>
      </c>
      <c r="E61">
        <v>660</v>
      </c>
      <c r="F61">
        <v>41</v>
      </c>
      <c r="G61">
        <v>0</v>
      </c>
      <c r="R61">
        <v>8</v>
      </c>
      <c r="U61">
        <v>11</v>
      </c>
    </row>
    <row r="62" spans="2:21" x14ac:dyDescent="0.3">
      <c r="B62">
        <v>616</v>
      </c>
      <c r="C62">
        <v>660</v>
      </c>
      <c r="D62">
        <v>7</v>
      </c>
      <c r="E62">
        <v>667</v>
      </c>
      <c r="F62">
        <v>44</v>
      </c>
      <c r="G62">
        <v>0</v>
      </c>
      <c r="R62">
        <v>8</v>
      </c>
      <c r="U62">
        <v>7</v>
      </c>
    </row>
    <row r="63" spans="2:21" x14ac:dyDescent="0.3">
      <c r="B63">
        <v>636</v>
      </c>
      <c r="C63">
        <v>667</v>
      </c>
      <c r="D63">
        <v>11</v>
      </c>
      <c r="E63">
        <v>678</v>
      </c>
      <c r="F63">
        <v>31</v>
      </c>
      <c r="G63">
        <v>0</v>
      </c>
      <c r="R63">
        <v>20</v>
      </c>
      <c r="U63">
        <v>11</v>
      </c>
    </row>
    <row r="64" spans="2:21" x14ac:dyDescent="0.3">
      <c r="B64">
        <v>652</v>
      </c>
      <c r="C64">
        <v>678</v>
      </c>
      <c r="D64">
        <v>11</v>
      </c>
      <c r="E64">
        <v>689</v>
      </c>
      <c r="F64">
        <v>26</v>
      </c>
      <c r="G64">
        <v>0</v>
      </c>
      <c r="R64">
        <v>16</v>
      </c>
      <c r="U64">
        <v>11</v>
      </c>
    </row>
    <row r="65" spans="2:21" x14ac:dyDescent="0.3">
      <c r="B65">
        <v>660</v>
      </c>
      <c r="C65">
        <v>689</v>
      </c>
      <c r="D65">
        <v>7</v>
      </c>
      <c r="E65">
        <v>696</v>
      </c>
      <c r="F65">
        <v>29</v>
      </c>
      <c r="G65">
        <v>0</v>
      </c>
      <c r="R65">
        <v>8</v>
      </c>
      <c r="U65">
        <v>7</v>
      </c>
    </row>
    <row r="66" spans="2:21" x14ac:dyDescent="0.3">
      <c r="B66">
        <v>668</v>
      </c>
      <c r="C66">
        <v>696</v>
      </c>
      <c r="D66">
        <v>11</v>
      </c>
      <c r="E66">
        <v>707</v>
      </c>
      <c r="F66">
        <v>28</v>
      </c>
      <c r="G66">
        <v>0</v>
      </c>
      <c r="R66">
        <v>8</v>
      </c>
      <c r="U66">
        <v>11</v>
      </c>
    </row>
    <row r="67" spans="2:21" x14ac:dyDescent="0.3">
      <c r="B67">
        <v>676</v>
      </c>
      <c r="C67">
        <v>707</v>
      </c>
      <c r="D67">
        <v>20</v>
      </c>
      <c r="E67">
        <v>727</v>
      </c>
      <c r="F67">
        <v>31</v>
      </c>
      <c r="G67">
        <v>0</v>
      </c>
      <c r="R67">
        <v>8</v>
      </c>
      <c r="U67">
        <v>20</v>
      </c>
    </row>
    <row r="68" spans="2:21" x14ac:dyDescent="0.3">
      <c r="B68">
        <v>696</v>
      </c>
      <c r="C68">
        <v>727</v>
      </c>
      <c r="D68">
        <v>18</v>
      </c>
      <c r="E68">
        <v>745</v>
      </c>
      <c r="F68">
        <v>31</v>
      </c>
      <c r="G68">
        <v>0</v>
      </c>
      <c r="R68">
        <v>20</v>
      </c>
      <c r="U68">
        <v>18</v>
      </c>
    </row>
    <row r="69" spans="2:21" x14ac:dyDescent="0.3">
      <c r="B69">
        <v>708</v>
      </c>
      <c r="C69">
        <v>745</v>
      </c>
      <c r="D69">
        <v>15</v>
      </c>
      <c r="E69">
        <v>760</v>
      </c>
      <c r="F69">
        <v>37</v>
      </c>
      <c r="G69">
        <v>0</v>
      </c>
      <c r="R69">
        <v>12</v>
      </c>
      <c r="U69">
        <v>15</v>
      </c>
    </row>
    <row r="70" spans="2:21" x14ac:dyDescent="0.3">
      <c r="B70">
        <v>720</v>
      </c>
      <c r="C70">
        <v>760</v>
      </c>
      <c r="D70">
        <v>20</v>
      </c>
      <c r="E70">
        <v>780</v>
      </c>
      <c r="F70">
        <v>40</v>
      </c>
      <c r="G70">
        <v>0</v>
      </c>
      <c r="R70">
        <v>12</v>
      </c>
      <c r="U70">
        <v>20</v>
      </c>
    </row>
    <row r="71" spans="2:21" x14ac:dyDescent="0.3">
      <c r="B71">
        <v>732</v>
      </c>
      <c r="C71">
        <v>780</v>
      </c>
      <c r="D71">
        <v>20</v>
      </c>
      <c r="E71">
        <v>800</v>
      </c>
      <c r="F71">
        <v>48</v>
      </c>
      <c r="G71">
        <v>0</v>
      </c>
      <c r="R71">
        <v>12</v>
      </c>
      <c r="U71">
        <v>20</v>
      </c>
    </row>
    <row r="72" spans="2:21" x14ac:dyDescent="0.3">
      <c r="B72">
        <v>752</v>
      </c>
      <c r="C72">
        <v>800</v>
      </c>
      <c r="D72">
        <v>11</v>
      </c>
      <c r="E72">
        <v>811</v>
      </c>
      <c r="F72">
        <v>48</v>
      </c>
      <c r="G72">
        <v>0</v>
      </c>
      <c r="R72">
        <v>20</v>
      </c>
      <c r="U72">
        <v>11</v>
      </c>
    </row>
    <row r="73" spans="2:21" x14ac:dyDescent="0.3">
      <c r="B73">
        <v>772</v>
      </c>
      <c r="C73">
        <v>811</v>
      </c>
      <c r="D73">
        <v>7</v>
      </c>
      <c r="E73">
        <v>818</v>
      </c>
      <c r="F73">
        <v>39</v>
      </c>
      <c r="G73">
        <v>0</v>
      </c>
      <c r="R73">
        <v>20</v>
      </c>
      <c r="U73">
        <v>7</v>
      </c>
    </row>
    <row r="74" spans="2:21" x14ac:dyDescent="0.3">
      <c r="B74">
        <v>788</v>
      </c>
      <c r="C74">
        <v>818</v>
      </c>
      <c r="D74">
        <v>15</v>
      </c>
      <c r="E74">
        <v>833</v>
      </c>
      <c r="F74">
        <v>30</v>
      </c>
      <c r="G74">
        <v>0</v>
      </c>
      <c r="R74">
        <v>16</v>
      </c>
      <c r="U74">
        <v>15</v>
      </c>
    </row>
    <row r="75" spans="2:21" x14ac:dyDescent="0.3">
      <c r="B75">
        <v>796</v>
      </c>
      <c r="C75">
        <v>833</v>
      </c>
      <c r="D75">
        <v>20</v>
      </c>
      <c r="E75">
        <v>853</v>
      </c>
      <c r="F75">
        <v>37</v>
      </c>
      <c r="G75">
        <v>0</v>
      </c>
      <c r="R75">
        <v>8</v>
      </c>
      <c r="U75">
        <v>20</v>
      </c>
    </row>
    <row r="76" spans="2:21" x14ac:dyDescent="0.3">
      <c r="B76">
        <v>808</v>
      </c>
      <c r="C76">
        <v>853</v>
      </c>
      <c r="D76">
        <v>7</v>
      </c>
      <c r="E76">
        <v>860</v>
      </c>
      <c r="F76">
        <v>45</v>
      </c>
      <c r="G76">
        <v>0</v>
      </c>
      <c r="R76">
        <v>12</v>
      </c>
      <c r="U76">
        <v>7</v>
      </c>
    </row>
    <row r="77" spans="2:21" x14ac:dyDescent="0.3">
      <c r="B77">
        <v>820</v>
      </c>
      <c r="C77">
        <v>860</v>
      </c>
      <c r="D77">
        <v>22</v>
      </c>
      <c r="E77">
        <v>882</v>
      </c>
      <c r="F77">
        <v>40</v>
      </c>
      <c r="G77">
        <v>0</v>
      </c>
      <c r="R77">
        <v>12</v>
      </c>
      <c r="U77">
        <v>22</v>
      </c>
    </row>
    <row r="78" spans="2:21" x14ac:dyDescent="0.3">
      <c r="B78">
        <v>828</v>
      </c>
      <c r="C78">
        <v>882</v>
      </c>
      <c r="D78">
        <v>7</v>
      </c>
      <c r="E78">
        <v>889</v>
      </c>
      <c r="F78">
        <v>54</v>
      </c>
      <c r="G78">
        <v>0</v>
      </c>
      <c r="R78">
        <v>8</v>
      </c>
      <c r="U78">
        <v>7</v>
      </c>
    </row>
    <row r="79" spans="2:21" x14ac:dyDescent="0.3">
      <c r="B79">
        <v>840</v>
      </c>
      <c r="C79">
        <v>889</v>
      </c>
      <c r="D79">
        <v>7</v>
      </c>
      <c r="E79">
        <v>896</v>
      </c>
      <c r="F79">
        <v>49</v>
      </c>
      <c r="G79">
        <v>0</v>
      </c>
      <c r="R79">
        <v>12</v>
      </c>
      <c r="U79">
        <v>7</v>
      </c>
    </row>
    <row r="80" spans="2:21" x14ac:dyDescent="0.3">
      <c r="B80">
        <v>860</v>
      </c>
      <c r="C80">
        <v>896</v>
      </c>
      <c r="D80">
        <v>11</v>
      </c>
      <c r="E80">
        <v>907</v>
      </c>
      <c r="F80">
        <v>36</v>
      </c>
      <c r="G80">
        <v>0</v>
      </c>
      <c r="R80">
        <v>20</v>
      </c>
      <c r="U80">
        <v>11</v>
      </c>
    </row>
    <row r="81" spans="2:21" x14ac:dyDescent="0.3">
      <c r="B81">
        <v>876</v>
      </c>
      <c r="C81">
        <v>907</v>
      </c>
      <c r="D81">
        <v>18</v>
      </c>
      <c r="E81">
        <v>925</v>
      </c>
      <c r="F81">
        <v>31</v>
      </c>
      <c r="G81">
        <v>0</v>
      </c>
      <c r="R81">
        <v>16</v>
      </c>
      <c r="U81">
        <v>18</v>
      </c>
    </row>
    <row r="82" spans="2:21" x14ac:dyDescent="0.3">
      <c r="B82">
        <v>892</v>
      </c>
      <c r="C82">
        <v>925</v>
      </c>
      <c r="D82">
        <v>7</v>
      </c>
      <c r="E82">
        <v>932</v>
      </c>
      <c r="F82">
        <v>33</v>
      </c>
      <c r="G82">
        <v>0</v>
      </c>
      <c r="R82">
        <v>16</v>
      </c>
      <c r="U82">
        <v>7</v>
      </c>
    </row>
    <row r="83" spans="2:21" x14ac:dyDescent="0.3">
      <c r="B83">
        <v>912</v>
      </c>
      <c r="C83">
        <v>932</v>
      </c>
      <c r="D83">
        <v>15</v>
      </c>
      <c r="E83">
        <v>947</v>
      </c>
      <c r="F83">
        <v>20</v>
      </c>
      <c r="G83">
        <v>0</v>
      </c>
      <c r="R83">
        <v>20</v>
      </c>
      <c r="U83">
        <v>15</v>
      </c>
    </row>
    <row r="84" spans="2:21" x14ac:dyDescent="0.3">
      <c r="B84">
        <v>924</v>
      </c>
      <c r="C84">
        <v>947</v>
      </c>
      <c r="D84">
        <v>7</v>
      </c>
      <c r="E84">
        <v>954</v>
      </c>
      <c r="F84">
        <v>23</v>
      </c>
      <c r="G84">
        <v>0</v>
      </c>
      <c r="R84">
        <v>12</v>
      </c>
      <c r="U84">
        <v>7</v>
      </c>
    </row>
    <row r="85" spans="2:21" x14ac:dyDescent="0.3">
      <c r="B85">
        <v>940</v>
      </c>
      <c r="C85">
        <v>954</v>
      </c>
      <c r="D85">
        <v>7</v>
      </c>
      <c r="E85">
        <v>961</v>
      </c>
      <c r="F85">
        <v>14</v>
      </c>
      <c r="G85">
        <v>0</v>
      </c>
      <c r="R85">
        <v>16</v>
      </c>
      <c r="U85">
        <v>7</v>
      </c>
    </row>
    <row r="86" spans="2:21" x14ac:dyDescent="0.3">
      <c r="B86">
        <v>952</v>
      </c>
      <c r="C86">
        <v>961</v>
      </c>
      <c r="D86">
        <v>7</v>
      </c>
      <c r="E86">
        <v>968</v>
      </c>
      <c r="F86">
        <v>9</v>
      </c>
      <c r="G86">
        <v>0</v>
      </c>
      <c r="R86">
        <v>12</v>
      </c>
      <c r="U86">
        <v>7</v>
      </c>
    </row>
    <row r="87" spans="2:21" x14ac:dyDescent="0.3">
      <c r="B87">
        <v>972</v>
      </c>
      <c r="C87">
        <v>972</v>
      </c>
      <c r="D87">
        <v>7</v>
      </c>
      <c r="E87">
        <v>979</v>
      </c>
      <c r="F87">
        <v>0</v>
      </c>
      <c r="G87">
        <v>4</v>
      </c>
      <c r="R87">
        <v>20</v>
      </c>
      <c r="U87">
        <v>7</v>
      </c>
    </row>
    <row r="88" spans="2:21" x14ac:dyDescent="0.3">
      <c r="B88">
        <v>988</v>
      </c>
      <c r="C88">
        <v>988</v>
      </c>
      <c r="D88">
        <v>7</v>
      </c>
      <c r="E88">
        <v>995</v>
      </c>
      <c r="F88">
        <v>0</v>
      </c>
      <c r="G88">
        <v>9</v>
      </c>
      <c r="R88">
        <v>16</v>
      </c>
      <c r="U88">
        <v>7</v>
      </c>
    </row>
    <row r="89" spans="2:21" x14ac:dyDescent="0.3">
      <c r="B89">
        <v>996</v>
      </c>
      <c r="C89">
        <v>996</v>
      </c>
      <c r="D89">
        <v>24</v>
      </c>
      <c r="E89">
        <v>1020</v>
      </c>
      <c r="F89">
        <v>0</v>
      </c>
      <c r="G89">
        <v>1</v>
      </c>
      <c r="R89">
        <v>8</v>
      </c>
      <c r="U89">
        <v>24</v>
      </c>
    </row>
    <row r="90" spans="2:21" x14ac:dyDescent="0.3">
      <c r="B90">
        <v>1016</v>
      </c>
      <c r="C90">
        <v>1020</v>
      </c>
      <c r="D90">
        <v>20</v>
      </c>
      <c r="E90">
        <v>1040</v>
      </c>
      <c r="F90">
        <v>4</v>
      </c>
      <c r="G90">
        <v>0</v>
      </c>
      <c r="R90">
        <v>20</v>
      </c>
      <c r="U90">
        <v>20</v>
      </c>
    </row>
    <row r="91" spans="2:21" x14ac:dyDescent="0.3">
      <c r="B91">
        <v>1036</v>
      </c>
      <c r="C91">
        <v>1040</v>
      </c>
      <c r="D91">
        <v>20</v>
      </c>
      <c r="E91">
        <v>1060</v>
      </c>
      <c r="F91">
        <v>4</v>
      </c>
      <c r="G91">
        <v>0</v>
      </c>
      <c r="R91">
        <v>20</v>
      </c>
      <c r="U91">
        <v>20</v>
      </c>
    </row>
    <row r="92" spans="2:21" x14ac:dyDescent="0.3">
      <c r="B92">
        <v>1056</v>
      </c>
      <c r="C92">
        <v>1060</v>
      </c>
      <c r="D92">
        <v>22</v>
      </c>
      <c r="E92">
        <v>1082</v>
      </c>
      <c r="F92">
        <v>4</v>
      </c>
      <c r="G92">
        <v>0</v>
      </c>
      <c r="R92">
        <v>20</v>
      </c>
      <c r="U92">
        <v>22</v>
      </c>
    </row>
    <row r="93" spans="2:21" x14ac:dyDescent="0.3">
      <c r="B93">
        <v>1068</v>
      </c>
      <c r="C93">
        <v>1082</v>
      </c>
      <c r="D93">
        <v>11</v>
      </c>
      <c r="E93">
        <v>1093</v>
      </c>
      <c r="F93">
        <v>14</v>
      </c>
      <c r="G93">
        <v>0</v>
      </c>
      <c r="R93">
        <v>12</v>
      </c>
      <c r="U93">
        <v>11</v>
      </c>
    </row>
    <row r="94" spans="2:21" x14ac:dyDescent="0.3">
      <c r="B94">
        <v>1080</v>
      </c>
      <c r="C94">
        <v>1093</v>
      </c>
      <c r="D94">
        <v>11</v>
      </c>
      <c r="E94">
        <v>1104</v>
      </c>
      <c r="F94">
        <v>13</v>
      </c>
      <c r="G94">
        <v>0</v>
      </c>
      <c r="R94">
        <v>12</v>
      </c>
      <c r="U94">
        <v>11</v>
      </c>
    </row>
    <row r="95" spans="2:21" x14ac:dyDescent="0.3">
      <c r="B95">
        <v>1092</v>
      </c>
      <c r="C95">
        <v>1104</v>
      </c>
      <c r="D95">
        <v>18</v>
      </c>
      <c r="E95">
        <v>1122</v>
      </c>
      <c r="F95">
        <v>12</v>
      </c>
      <c r="G95">
        <v>0</v>
      </c>
      <c r="R95">
        <v>12</v>
      </c>
      <c r="U95">
        <v>18</v>
      </c>
    </row>
    <row r="96" spans="2:21" x14ac:dyDescent="0.3">
      <c r="B96">
        <v>1112</v>
      </c>
      <c r="C96">
        <v>1122</v>
      </c>
      <c r="D96">
        <v>20</v>
      </c>
      <c r="E96">
        <v>1142</v>
      </c>
      <c r="F96">
        <v>10</v>
      </c>
      <c r="G96">
        <v>0</v>
      </c>
      <c r="R96">
        <v>20</v>
      </c>
      <c r="U96">
        <v>20</v>
      </c>
    </row>
    <row r="97" spans="2:21" x14ac:dyDescent="0.3">
      <c r="B97">
        <v>1128</v>
      </c>
      <c r="C97">
        <v>1142</v>
      </c>
      <c r="D97">
        <v>11</v>
      </c>
      <c r="E97">
        <v>1153</v>
      </c>
      <c r="F97">
        <v>14</v>
      </c>
      <c r="G97">
        <v>0</v>
      </c>
      <c r="R97">
        <v>16</v>
      </c>
      <c r="U97">
        <v>11</v>
      </c>
    </row>
    <row r="98" spans="2:21" x14ac:dyDescent="0.3">
      <c r="B98">
        <v>1140</v>
      </c>
      <c r="C98">
        <v>1153</v>
      </c>
      <c r="D98">
        <v>11</v>
      </c>
      <c r="E98">
        <v>1164</v>
      </c>
      <c r="F98">
        <v>13</v>
      </c>
      <c r="G98">
        <v>0</v>
      </c>
      <c r="R98">
        <v>12</v>
      </c>
      <c r="U98">
        <v>11</v>
      </c>
    </row>
    <row r="99" spans="2:21" x14ac:dyDescent="0.3">
      <c r="B99">
        <v>1156</v>
      </c>
      <c r="C99">
        <v>1164</v>
      </c>
      <c r="D99">
        <v>11</v>
      </c>
      <c r="E99">
        <v>1175</v>
      </c>
      <c r="F99">
        <v>8</v>
      </c>
      <c r="G99">
        <v>0</v>
      </c>
      <c r="R99">
        <v>16</v>
      </c>
      <c r="U99">
        <v>11</v>
      </c>
    </row>
    <row r="100" spans="2:21" x14ac:dyDescent="0.3">
      <c r="B100">
        <v>1168</v>
      </c>
      <c r="C100">
        <v>1175</v>
      </c>
      <c r="D100">
        <v>18</v>
      </c>
      <c r="E100">
        <v>1193</v>
      </c>
      <c r="F100">
        <v>7</v>
      </c>
      <c r="G100">
        <v>0</v>
      </c>
      <c r="R100">
        <v>12</v>
      </c>
      <c r="U100">
        <v>18</v>
      </c>
    </row>
    <row r="101" spans="2:21" x14ac:dyDescent="0.3">
      <c r="B101">
        <v>1184</v>
      </c>
      <c r="C101">
        <v>1193</v>
      </c>
      <c r="D101">
        <v>20</v>
      </c>
      <c r="E101">
        <v>1213</v>
      </c>
      <c r="F101">
        <v>9</v>
      </c>
      <c r="G101">
        <v>0</v>
      </c>
      <c r="R101">
        <v>16</v>
      </c>
      <c r="U101">
        <v>20</v>
      </c>
    </row>
    <row r="102" spans="2:21" x14ac:dyDescent="0.3">
      <c r="B102">
        <v>1204</v>
      </c>
      <c r="C102">
        <v>1213</v>
      </c>
      <c r="D102">
        <v>24</v>
      </c>
      <c r="E102">
        <v>1237</v>
      </c>
      <c r="F102">
        <v>9</v>
      </c>
      <c r="G102">
        <v>0</v>
      </c>
      <c r="R102">
        <v>20</v>
      </c>
      <c r="U102">
        <v>24</v>
      </c>
    </row>
    <row r="103" spans="2:21" x14ac:dyDescent="0.3">
      <c r="B103">
        <v>1212</v>
      </c>
      <c r="C103">
        <v>1237</v>
      </c>
      <c r="D103">
        <v>24</v>
      </c>
      <c r="E103">
        <v>1261</v>
      </c>
      <c r="F103">
        <v>25</v>
      </c>
      <c r="G103">
        <v>0</v>
      </c>
      <c r="R103">
        <v>8</v>
      </c>
      <c r="U103">
        <v>24</v>
      </c>
    </row>
    <row r="104" spans="2:21" x14ac:dyDescent="0.3">
      <c r="B104">
        <v>1224</v>
      </c>
      <c r="C104">
        <v>1261</v>
      </c>
      <c r="D104">
        <v>11</v>
      </c>
      <c r="E104">
        <v>1272</v>
      </c>
      <c r="F104">
        <v>37</v>
      </c>
      <c r="G104">
        <v>0</v>
      </c>
      <c r="R104">
        <v>12</v>
      </c>
      <c r="U104">
        <v>11</v>
      </c>
    </row>
    <row r="105" spans="2:21" x14ac:dyDescent="0.3">
      <c r="B105">
        <v>1232</v>
      </c>
      <c r="C105">
        <v>1272</v>
      </c>
      <c r="D105">
        <v>7</v>
      </c>
      <c r="E105">
        <v>1279</v>
      </c>
      <c r="F105">
        <v>40</v>
      </c>
      <c r="G105">
        <v>0</v>
      </c>
      <c r="R105">
        <v>8</v>
      </c>
      <c r="U105">
        <v>7</v>
      </c>
    </row>
    <row r="106" spans="2:21" x14ac:dyDescent="0.3">
      <c r="B106">
        <v>1252</v>
      </c>
      <c r="C106">
        <v>1279</v>
      </c>
      <c r="D106">
        <v>24</v>
      </c>
      <c r="E106">
        <v>1303</v>
      </c>
      <c r="F106">
        <v>27</v>
      </c>
      <c r="G106">
        <v>0</v>
      </c>
      <c r="R106">
        <v>20</v>
      </c>
      <c r="U106">
        <v>24</v>
      </c>
    </row>
    <row r="107" spans="2:21" x14ac:dyDescent="0.3">
      <c r="B107">
        <v>1264</v>
      </c>
      <c r="C107">
        <v>1303</v>
      </c>
      <c r="D107">
        <v>7</v>
      </c>
      <c r="E107">
        <v>1310</v>
      </c>
      <c r="F107">
        <v>39</v>
      </c>
      <c r="G107">
        <v>0</v>
      </c>
      <c r="R107">
        <v>12</v>
      </c>
      <c r="U107">
        <v>7</v>
      </c>
    </row>
    <row r="108" spans="2:21" x14ac:dyDescent="0.3">
      <c r="B108">
        <v>1284</v>
      </c>
      <c r="C108">
        <v>1310</v>
      </c>
      <c r="D108">
        <v>18</v>
      </c>
      <c r="E108">
        <v>1328</v>
      </c>
      <c r="F108">
        <v>26</v>
      </c>
      <c r="G108">
        <v>0</v>
      </c>
      <c r="R108">
        <v>20</v>
      </c>
      <c r="U108">
        <v>18</v>
      </c>
    </row>
    <row r="109" spans="2:21" x14ac:dyDescent="0.3">
      <c r="B109">
        <v>1300</v>
      </c>
      <c r="C109">
        <v>1328</v>
      </c>
      <c r="D109">
        <v>18</v>
      </c>
      <c r="E109">
        <v>1346</v>
      </c>
      <c r="F109">
        <v>28</v>
      </c>
      <c r="G109">
        <v>0</v>
      </c>
      <c r="R109">
        <v>16</v>
      </c>
      <c r="U109">
        <v>18</v>
      </c>
    </row>
    <row r="110" spans="2:21" x14ac:dyDescent="0.3">
      <c r="B110">
        <v>1316</v>
      </c>
      <c r="C110">
        <v>1346</v>
      </c>
      <c r="D110">
        <v>11</v>
      </c>
      <c r="E110">
        <v>1357</v>
      </c>
      <c r="F110">
        <v>30</v>
      </c>
      <c r="G110">
        <v>0</v>
      </c>
      <c r="R110">
        <v>16</v>
      </c>
      <c r="U110">
        <v>11</v>
      </c>
    </row>
    <row r="111" spans="2:21" x14ac:dyDescent="0.3">
      <c r="B111">
        <v>1328</v>
      </c>
      <c r="C111">
        <v>1357</v>
      </c>
      <c r="D111">
        <v>11</v>
      </c>
      <c r="E111">
        <v>1368</v>
      </c>
      <c r="F111">
        <v>29</v>
      </c>
      <c r="G111">
        <v>0</v>
      </c>
      <c r="R111">
        <v>12</v>
      </c>
      <c r="U111">
        <v>11</v>
      </c>
    </row>
    <row r="112" spans="2:21" x14ac:dyDescent="0.3">
      <c r="B112">
        <v>1348</v>
      </c>
      <c r="C112">
        <v>1368</v>
      </c>
      <c r="D112">
        <v>20</v>
      </c>
      <c r="E112">
        <v>1388</v>
      </c>
      <c r="F112">
        <v>20</v>
      </c>
      <c r="G112">
        <v>0</v>
      </c>
      <c r="R112">
        <v>20</v>
      </c>
      <c r="U112">
        <v>20</v>
      </c>
    </row>
    <row r="113" spans="2:21" x14ac:dyDescent="0.3">
      <c r="B113">
        <v>1360</v>
      </c>
      <c r="C113">
        <v>1388</v>
      </c>
      <c r="D113">
        <v>15</v>
      </c>
      <c r="E113">
        <v>1403</v>
      </c>
      <c r="F113">
        <v>28</v>
      </c>
      <c r="G113">
        <v>0</v>
      </c>
      <c r="R113">
        <v>12</v>
      </c>
      <c r="U113">
        <v>15</v>
      </c>
    </row>
    <row r="114" spans="2:21" x14ac:dyDescent="0.3">
      <c r="B114">
        <v>1368</v>
      </c>
      <c r="C114">
        <v>1403</v>
      </c>
      <c r="D114">
        <v>7</v>
      </c>
      <c r="E114">
        <v>1410</v>
      </c>
      <c r="F114">
        <v>35</v>
      </c>
      <c r="G114">
        <v>0</v>
      </c>
      <c r="R114">
        <v>8</v>
      </c>
      <c r="U114">
        <v>7</v>
      </c>
    </row>
    <row r="115" spans="2:21" x14ac:dyDescent="0.3">
      <c r="B115">
        <v>1380</v>
      </c>
      <c r="C115">
        <v>1410</v>
      </c>
      <c r="D115">
        <v>20</v>
      </c>
      <c r="E115">
        <v>1430</v>
      </c>
      <c r="F115">
        <v>30</v>
      </c>
      <c r="G115">
        <v>0</v>
      </c>
      <c r="R115">
        <v>12</v>
      </c>
      <c r="U115">
        <v>20</v>
      </c>
    </row>
    <row r="116" spans="2:21" x14ac:dyDescent="0.3">
      <c r="B116">
        <v>1400</v>
      </c>
      <c r="C116">
        <v>1430</v>
      </c>
      <c r="D116">
        <v>7</v>
      </c>
      <c r="E116">
        <v>1437</v>
      </c>
      <c r="F116">
        <v>30</v>
      </c>
      <c r="G116">
        <v>0</v>
      </c>
      <c r="R116">
        <v>20</v>
      </c>
      <c r="U116">
        <v>7</v>
      </c>
    </row>
    <row r="117" spans="2:21" x14ac:dyDescent="0.3">
      <c r="B117">
        <v>1412</v>
      </c>
      <c r="C117">
        <v>1437</v>
      </c>
      <c r="D117">
        <v>15</v>
      </c>
      <c r="E117">
        <v>1452</v>
      </c>
      <c r="F117">
        <v>25</v>
      </c>
      <c r="G117">
        <v>0</v>
      </c>
      <c r="R117">
        <v>12</v>
      </c>
      <c r="U117">
        <v>15</v>
      </c>
    </row>
    <row r="118" spans="2:21" x14ac:dyDescent="0.3">
      <c r="B118">
        <v>1432</v>
      </c>
      <c r="C118">
        <v>1452</v>
      </c>
      <c r="D118">
        <v>24</v>
      </c>
      <c r="E118">
        <v>1476</v>
      </c>
      <c r="F118">
        <v>20</v>
      </c>
      <c r="G118">
        <v>0</v>
      </c>
      <c r="R118">
        <v>20</v>
      </c>
      <c r="U118">
        <v>24</v>
      </c>
    </row>
    <row r="119" spans="2:21" x14ac:dyDescent="0.3">
      <c r="B119">
        <v>1448</v>
      </c>
      <c r="C119">
        <v>1476</v>
      </c>
      <c r="D119">
        <v>7</v>
      </c>
      <c r="E119">
        <v>1483</v>
      </c>
      <c r="F119">
        <v>28</v>
      </c>
      <c r="G119">
        <v>0</v>
      </c>
      <c r="R119">
        <v>16</v>
      </c>
      <c r="U119">
        <v>7</v>
      </c>
    </row>
    <row r="120" spans="2:21" x14ac:dyDescent="0.3">
      <c r="B120">
        <v>1460</v>
      </c>
      <c r="C120">
        <v>1483</v>
      </c>
      <c r="D120">
        <v>11</v>
      </c>
      <c r="E120">
        <v>1494</v>
      </c>
      <c r="F120">
        <v>23</v>
      </c>
      <c r="G120">
        <v>0</v>
      </c>
      <c r="R120">
        <v>12</v>
      </c>
      <c r="U120">
        <v>11</v>
      </c>
    </row>
    <row r="121" spans="2:21" x14ac:dyDescent="0.3">
      <c r="B121">
        <v>1468</v>
      </c>
      <c r="C121">
        <v>1494</v>
      </c>
      <c r="D121">
        <v>20</v>
      </c>
      <c r="E121">
        <v>1514</v>
      </c>
      <c r="F121">
        <v>26</v>
      </c>
      <c r="G121">
        <v>0</v>
      </c>
      <c r="R121">
        <v>8</v>
      </c>
      <c r="U121">
        <v>20</v>
      </c>
    </row>
    <row r="122" spans="2:21" x14ac:dyDescent="0.3">
      <c r="B122">
        <v>1488</v>
      </c>
      <c r="C122">
        <v>1514</v>
      </c>
      <c r="D122">
        <v>15</v>
      </c>
      <c r="E122">
        <v>1529</v>
      </c>
      <c r="F122">
        <v>26</v>
      </c>
      <c r="G122">
        <v>0</v>
      </c>
      <c r="R122">
        <v>20</v>
      </c>
      <c r="U122">
        <v>15</v>
      </c>
    </row>
    <row r="123" spans="2:21" x14ac:dyDescent="0.3">
      <c r="B123">
        <v>1500</v>
      </c>
      <c r="C123">
        <v>1529</v>
      </c>
      <c r="D123">
        <v>18</v>
      </c>
      <c r="E123">
        <v>1547</v>
      </c>
      <c r="F123">
        <v>29</v>
      </c>
      <c r="G123">
        <v>0</v>
      </c>
      <c r="R123">
        <v>12</v>
      </c>
      <c r="U123">
        <v>18</v>
      </c>
    </row>
    <row r="124" spans="2:21" x14ac:dyDescent="0.3">
      <c r="B124">
        <v>1508</v>
      </c>
      <c r="C124">
        <v>1547</v>
      </c>
      <c r="D124">
        <v>11</v>
      </c>
      <c r="E124">
        <v>1558</v>
      </c>
      <c r="F124">
        <v>39</v>
      </c>
      <c r="G124">
        <v>0</v>
      </c>
      <c r="R124">
        <v>8</v>
      </c>
      <c r="U124">
        <v>11</v>
      </c>
    </row>
    <row r="125" spans="2:21" x14ac:dyDescent="0.3">
      <c r="B125">
        <v>1516</v>
      </c>
      <c r="C125">
        <v>1558</v>
      </c>
      <c r="D125">
        <v>11</v>
      </c>
      <c r="E125">
        <v>1569</v>
      </c>
      <c r="F125">
        <v>42</v>
      </c>
      <c r="G125">
        <v>0</v>
      </c>
      <c r="R125">
        <v>8</v>
      </c>
      <c r="U125">
        <v>11</v>
      </c>
    </row>
    <row r="126" spans="2:21" x14ac:dyDescent="0.3">
      <c r="B126">
        <v>1536</v>
      </c>
      <c r="C126">
        <v>1569</v>
      </c>
      <c r="D126">
        <v>15</v>
      </c>
      <c r="E126">
        <v>1584</v>
      </c>
      <c r="F126">
        <v>33</v>
      </c>
      <c r="G126">
        <v>0</v>
      </c>
      <c r="R126">
        <v>20</v>
      </c>
      <c r="U126">
        <v>15</v>
      </c>
    </row>
    <row r="127" spans="2:21" x14ac:dyDescent="0.3">
      <c r="B127">
        <v>1544</v>
      </c>
      <c r="C127">
        <v>1584</v>
      </c>
      <c r="D127">
        <v>11</v>
      </c>
      <c r="E127">
        <v>1595</v>
      </c>
      <c r="F127">
        <v>40</v>
      </c>
      <c r="G127">
        <v>0</v>
      </c>
      <c r="R127">
        <v>8</v>
      </c>
      <c r="U127">
        <v>11</v>
      </c>
    </row>
    <row r="128" spans="2:21" x14ac:dyDescent="0.3">
      <c r="B128">
        <v>1552</v>
      </c>
      <c r="C128">
        <v>1595</v>
      </c>
      <c r="D128">
        <v>7</v>
      </c>
      <c r="E128">
        <v>1602</v>
      </c>
      <c r="F128">
        <v>43</v>
      </c>
      <c r="G128">
        <v>0</v>
      </c>
      <c r="R128">
        <v>8</v>
      </c>
      <c r="U128">
        <v>7</v>
      </c>
    </row>
    <row r="129" spans="2:21" x14ac:dyDescent="0.3">
      <c r="B129">
        <v>1564</v>
      </c>
      <c r="C129">
        <v>1602</v>
      </c>
      <c r="D129">
        <v>11</v>
      </c>
      <c r="E129">
        <v>1613</v>
      </c>
      <c r="F129">
        <v>38</v>
      </c>
      <c r="G129">
        <v>0</v>
      </c>
      <c r="R129">
        <v>12</v>
      </c>
      <c r="U129">
        <v>11</v>
      </c>
    </row>
    <row r="130" spans="2:21" x14ac:dyDescent="0.3">
      <c r="B130">
        <v>1572</v>
      </c>
      <c r="C130">
        <v>1613</v>
      </c>
      <c r="D130">
        <v>11</v>
      </c>
      <c r="E130">
        <v>1624</v>
      </c>
      <c r="F130">
        <v>41</v>
      </c>
      <c r="G130">
        <v>0</v>
      </c>
      <c r="R130">
        <v>8</v>
      </c>
      <c r="U130">
        <v>11</v>
      </c>
    </row>
    <row r="131" spans="2:21" x14ac:dyDescent="0.3">
      <c r="B131">
        <v>1588</v>
      </c>
      <c r="C131">
        <v>1624</v>
      </c>
      <c r="D131">
        <v>20</v>
      </c>
      <c r="E131">
        <v>1644</v>
      </c>
      <c r="F131">
        <v>36</v>
      </c>
      <c r="G131">
        <v>0</v>
      </c>
      <c r="R131">
        <v>16</v>
      </c>
      <c r="U131">
        <v>20</v>
      </c>
    </row>
    <row r="132" spans="2:21" x14ac:dyDescent="0.3">
      <c r="B132">
        <v>1608</v>
      </c>
      <c r="C132">
        <v>1644</v>
      </c>
      <c r="D132">
        <v>7</v>
      </c>
      <c r="E132">
        <v>1651</v>
      </c>
      <c r="F132">
        <v>36</v>
      </c>
      <c r="G132">
        <v>0</v>
      </c>
      <c r="R132">
        <v>20</v>
      </c>
      <c r="U132">
        <v>7</v>
      </c>
    </row>
    <row r="133" spans="2:21" x14ac:dyDescent="0.3">
      <c r="B133">
        <v>1624</v>
      </c>
      <c r="C133">
        <v>1651</v>
      </c>
      <c r="D133">
        <v>20</v>
      </c>
      <c r="E133">
        <v>1671</v>
      </c>
      <c r="F133">
        <v>27</v>
      </c>
      <c r="G133">
        <v>0</v>
      </c>
      <c r="R133">
        <v>16</v>
      </c>
      <c r="U133">
        <v>20</v>
      </c>
    </row>
    <row r="134" spans="2:21" x14ac:dyDescent="0.3">
      <c r="B134">
        <v>1640</v>
      </c>
      <c r="C134">
        <v>1671</v>
      </c>
      <c r="D134">
        <v>7</v>
      </c>
      <c r="E134">
        <v>1678</v>
      </c>
      <c r="F134">
        <v>31</v>
      </c>
      <c r="G134">
        <v>0</v>
      </c>
      <c r="R134">
        <v>16</v>
      </c>
      <c r="U134">
        <v>7</v>
      </c>
    </row>
    <row r="135" spans="2:21" x14ac:dyDescent="0.3">
      <c r="B135">
        <v>1660</v>
      </c>
      <c r="C135">
        <v>1678</v>
      </c>
      <c r="D135">
        <v>20</v>
      </c>
      <c r="E135">
        <v>1698</v>
      </c>
      <c r="F135">
        <v>18</v>
      </c>
      <c r="G135">
        <v>0</v>
      </c>
      <c r="R135">
        <v>20</v>
      </c>
      <c r="U135">
        <v>20</v>
      </c>
    </row>
    <row r="136" spans="2:21" x14ac:dyDescent="0.3">
      <c r="B136">
        <v>1680</v>
      </c>
      <c r="C136">
        <v>1698</v>
      </c>
      <c r="D136">
        <v>11</v>
      </c>
      <c r="E136">
        <v>1709</v>
      </c>
      <c r="F136">
        <v>18</v>
      </c>
      <c r="G136">
        <v>0</v>
      </c>
      <c r="R136">
        <v>20</v>
      </c>
      <c r="U136">
        <v>11</v>
      </c>
    </row>
    <row r="137" spans="2:21" x14ac:dyDescent="0.3">
      <c r="B137">
        <v>1696</v>
      </c>
      <c r="C137">
        <v>1709</v>
      </c>
      <c r="D137">
        <v>20</v>
      </c>
      <c r="E137">
        <v>1729</v>
      </c>
      <c r="F137">
        <v>13</v>
      </c>
      <c r="G137">
        <v>0</v>
      </c>
      <c r="R137">
        <v>16</v>
      </c>
      <c r="U137">
        <v>20</v>
      </c>
    </row>
    <row r="138" spans="2:21" x14ac:dyDescent="0.3">
      <c r="B138">
        <v>1708</v>
      </c>
      <c r="C138">
        <v>1729</v>
      </c>
      <c r="D138">
        <v>22</v>
      </c>
      <c r="E138">
        <v>1751</v>
      </c>
      <c r="F138">
        <v>21</v>
      </c>
      <c r="G138">
        <v>0</v>
      </c>
      <c r="R138">
        <v>12</v>
      </c>
      <c r="U138">
        <v>22</v>
      </c>
    </row>
    <row r="139" spans="2:21" x14ac:dyDescent="0.3">
      <c r="B139">
        <v>1720</v>
      </c>
      <c r="C139">
        <v>1751</v>
      </c>
      <c r="D139">
        <v>7</v>
      </c>
      <c r="E139">
        <v>1758</v>
      </c>
      <c r="F139">
        <v>31</v>
      </c>
      <c r="G139">
        <v>0</v>
      </c>
      <c r="R139">
        <v>12</v>
      </c>
      <c r="U139">
        <v>7</v>
      </c>
    </row>
    <row r="140" spans="2:21" x14ac:dyDescent="0.3">
      <c r="B140">
        <v>1732</v>
      </c>
      <c r="C140">
        <v>1758</v>
      </c>
      <c r="D140">
        <v>7</v>
      </c>
      <c r="E140">
        <v>1765</v>
      </c>
      <c r="F140">
        <v>26</v>
      </c>
      <c r="G140">
        <v>0</v>
      </c>
      <c r="R140">
        <v>12</v>
      </c>
      <c r="U140">
        <v>7</v>
      </c>
    </row>
    <row r="141" spans="2:21" x14ac:dyDescent="0.3">
      <c r="B141">
        <v>1744</v>
      </c>
      <c r="C141">
        <v>1765</v>
      </c>
      <c r="D141">
        <v>11</v>
      </c>
      <c r="E141">
        <v>1776</v>
      </c>
      <c r="F141">
        <v>21</v>
      </c>
      <c r="G141">
        <v>0</v>
      </c>
      <c r="R141">
        <v>12</v>
      </c>
      <c r="U141">
        <v>11</v>
      </c>
    </row>
    <row r="142" spans="2:21" x14ac:dyDescent="0.3">
      <c r="B142">
        <v>1764</v>
      </c>
      <c r="C142">
        <v>1776</v>
      </c>
      <c r="D142">
        <v>11</v>
      </c>
      <c r="E142">
        <v>1787</v>
      </c>
      <c r="F142">
        <v>12</v>
      </c>
      <c r="G142">
        <v>0</v>
      </c>
      <c r="R142">
        <v>20</v>
      </c>
      <c r="U142">
        <v>11</v>
      </c>
    </row>
    <row r="143" spans="2:21" x14ac:dyDescent="0.3">
      <c r="B143">
        <v>1776</v>
      </c>
      <c r="C143">
        <v>1787</v>
      </c>
      <c r="D143">
        <v>20</v>
      </c>
      <c r="E143">
        <v>1807</v>
      </c>
      <c r="F143">
        <v>11</v>
      </c>
      <c r="G143">
        <v>0</v>
      </c>
      <c r="R143">
        <v>12</v>
      </c>
      <c r="U143">
        <v>20</v>
      </c>
    </row>
    <row r="144" spans="2:21" x14ac:dyDescent="0.3">
      <c r="B144">
        <v>1796</v>
      </c>
      <c r="C144">
        <v>1807</v>
      </c>
      <c r="D144">
        <v>11</v>
      </c>
      <c r="E144">
        <v>1818</v>
      </c>
      <c r="F144">
        <v>11</v>
      </c>
      <c r="G144">
        <v>0</v>
      </c>
      <c r="R144">
        <v>20</v>
      </c>
      <c r="U144">
        <v>11</v>
      </c>
    </row>
    <row r="145" spans="2:21" x14ac:dyDescent="0.3">
      <c r="B145">
        <v>1812</v>
      </c>
      <c r="C145">
        <v>1818</v>
      </c>
      <c r="D145">
        <v>7</v>
      </c>
      <c r="E145">
        <v>1825</v>
      </c>
      <c r="F145">
        <v>6</v>
      </c>
      <c r="G145">
        <v>0</v>
      </c>
      <c r="R145">
        <v>16</v>
      </c>
      <c r="U145">
        <v>7</v>
      </c>
    </row>
    <row r="146" spans="2:21" x14ac:dyDescent="0.3">
      <c r="B146">
        <v>1824</v>
      </c>
      <c r="C146">
        <v>1825</v>
      </c>
      <c r="D146">
        <v>20</v>
      </c>
      <c r="E146">
        <v>1845</v>
      </c>
      <c r="F146">
        <v>1</v>
      </c>
      <c r="G146">
        <v>0</v>
      </c>
      <c r="R146">
        <v>12</v>
      </c>
      <c r="U146">
        <v>20</v>
      </c>
    </row>
    <row r="147" spans="2:21" x14ac:dyDescent="0.3">
      <c r="B147">
        <v>1836</v>
      </c>
      <c r="C147">
        <v>1845</v>
      </c>
      <c r="D147">
        <v>11</v>
      </c>
      <c r="E147">
        <v>1856</v>
      </c>
      <c r="F147">
        <v>9</v>
      </c>
      <c r="G147">
        <v>0</v>
      </c>
      <c r="R147">
        <v>12</v>
      </c>
      <c r="U147">
        <v>11</v>
      </c>
    </row>
    <row r="148" spans="2:21" x14ac:dyDescent="0.3">
      <c r="B148">
        <v>1848</v>
      </c>
      <c r="C148">
        <v>1856</v>
      </c>
      <c r="D148">
        <v>20</v>
      </c>
      <c r="E148">
        <v>1876</v>
      </c>
      <c r="F148">
        <v>8</v>
      </c>
      <c r="G148">
        <v>0</v>
      </c>
      <c r="R148">
        <v>12</v>
      </c>
      <c r="U148">
        <v>20</v>
      </c>
    </row>
    <row r="149" spans="2:21" x14ac:dyDescent="0.3">
      <c r="B149">
        <v>1860</v>
      </c>
      <c r="C149">
        <v>1876</v>
      </c>
      <c r="D149">
        <v>7</v>
      </c>
      <c r="E149">
        <v>1883</v>
      </c>
      <c r="F149">
        <v>16</v>
      </c>
      <c r="G149">
        <v>0</v>
      </c>
      <c r="R149">
        <v>12</v>
      </c>
      <c r="U149">
        <v>7</v>
      </c>
    </row>
    <row r="150" spans="2:21" x14ac:dyDescent="0.3">
      <c r="B150">
        <v>1868</v>
      </c>
      <c r="C150">
        <v>1883</v>
      </c>
      <c r="D150">
        <v>11</v>
      </c>
      <c r="E150">
        <v>1894</v>
      </c>
      <c r="F150">
        <v>15</v>
      </c>
      <c r="G150">
        <v>0</v>
      </c>
      <c r="R150">
        <v>8</v>
      </c>
      <c r="U150">
        <v>11</v>
      </c>
    </row>
    <row r="151" spans="2:21" x14ac:dyDescent="0.3">
      <c r="B151">
        <v>1884</v>
      </c>
      <c r="C151">
        <v>1894</v>
      </c>
      <c r="D151">
        <v>18</v>
      </c>
      <c r="E151">
        <v>1912</v>
      </c>
      <c r="F151">
        <v>10</v>
      </c>
      <c r="G151">
        <v>0</v>
      </c>
      <c r="R151">
        <v>16</v>
      </c>
      <c r="U151">
        <v>18</v>
      </c>
    </row>
    <row r="152" spans="2:21" x14ac:dyDescent="0.3">
      <c r="B152">
        <v>1892</v>
      </c>
      <c r="C152">
        <v>1912</v>
      </c>
      <c r="D152">
        <v>7</v>
      </c>
      <c r="E152">
        <v>1919</v>
      </c>
      <c r="F152">
        <v>20</v>
      </c>
      <c r="G152">
        <v>0</v>
      </c>
      <c r="R152">
        <v>8</v>
      </c>
      <c r="U152">
        <v>7</v>
      </c>
    </row>
    <row r="153" spans="2:21" x14ac:dyDescent="0.3">
      <c r="B153">
        <v>1908</v>
      </c>
      <c r="C153">
        <v>1919</v>
      </c>
      <c r="D153">
        <v>11</v>
      </c>
      <c r="E153">
        <v>1930</v>
      </c>
      <c r="F153">
        <v>11</v>
      </c>
      <c r="G153">
        <v>0</v>
      </c>
      <c r="R153">
        <v>16</v>
      </c>
      <c r="U153">
        <v>11</v>
      </c>
    </row>
    <row r="154" spans="2:21" x14ac:dyDescent="0.3">
      <c r="B154">
        <v>1924</v>
      </c>
      <c r="C154">
        <v>1930</v>
      </c>
      <c r="D154">
        <v>22</v>
      </c>
      <c r="E154">
        <v>1952</v>
      </c>
      <c r="F154">
        <v>6</v>
      </c>
      <c r="G154">
        <v>0</v>
      </c>
      <c r="R154">
        <v>16</v>
      </c>
      <c r="U154">
        <v>22</v>
      </c>
    </row>
    <row r="155" spans="2:21" x14ac:dyDescent="0.3">
      <c r="B155">
        <v>1936</v>
      </c>
      <c r="C155">
        <v>1952</v>
      </c>
      <c r="D155">
        <v>11</v>
      </c>
      <c r="E155">
        <v>1963</v>
      </c>
      <c r="F155">
        <v>16</v>
      </c>
      <c r="G155">
        <v>0</v>
      </c>
      <c r="R155">
        <v>12</v>
      </c>
      <c r="U155">
        <v>11</v>
      </c>
    </row>
    <row r="156" spans="2:21" x14ac:dyDescent="0.3">
      <c r="B156">
        <v>1948</v>
      </c>
      <c r="C156">
        <v>1963</v>
      </c>
      <c r="D156">
        <v>7</v>
      </c>
      <c r="E156">
        <v>1970</v>
      </c>
      <c r="F156">
        <v>15</v>
      </c>
      <c r="G156">
        <v>0</v>
      </c>
      <c r="R156">
        <v>12</v>
      </c>
      <c r="U156">
        <v>7</v>
      </c>
    </row>
    <row r="157" spans="2:21" x14ac:dyDescent="0.3">
      <c r="B157">
        <v>1956</v>
      </c>
      <c r="C157">
        <v>1970</v>
      </c>
      <c r="D157">
        <v>20</v>
      </c>
      <c r="E157">
        <v>1990</v>
      </c>
      <c r="F157">
        <v>14</v>
      </c>
      <c r="G157">
        <v>0</v>
      </c>
      <c r="R157">
        <v>8</v>
      </c>
      <c r="U157">
        <v>20</v>
      </c>
    </row>
    <row r="158" spans="2:21" x14ac:dyDescent="0.3">
      <c r="B158">
        <v>1972</v>
      </c>
      <c r="C158">
        <v>1990</v>
      </c>
      <c r="D158">
        <v>7</v>
      </c>
      <c r="E158">
        <v>1997</v>
      </c>
      <c r="F158">
        <v>18</v>
      </c>
      <c r="G158">
        <v>0</v>
      </c>
      <c r="R158">
        <v>16</v>
      </c>
      <c r="U158">
        <v>7</v>
      </c>
    </row>
    <row r="159" spans="2:21" x14ac:dyDescent="0.3">
      <c r="B159">
        <v>1992</v>
      </c>
      <c r="C159">
        <v>1997</v>
      </c>
      <c r="D159">
        <v>11</v>
      </c>
      <c r="E159">
        <v>2008</v>
      </c>
      <c r="F159">
        <v>5</v>
      </c>
      <c r="G159">
        <v>0</v>
      </c>
      <c r="R159">
        <v>20</v>
      </c>
      <c r="U159">
        <v>11</v>
      </c>
    </row>
    <row r="160" spans="2:21" x14ac:dyDescent="0.3">
      <c r="B160">
        <v>2000</v>
      </c>
      <c r="C160">
        <v>2008</v>
      </c>
      <c r="D160">
        <v>7</v>
      </c>
      <c r="E160">
        <v>2015</v>
      </c>
      <c r="F160">
        <v>8</v>
      </c>
      <c r="G160">
        <v>0</v>
      </c>
      <c r="R160">
        <v>8</v>
      </c>
      <c r="U160">
        <v>7</v>
      </c>
    </row>
    <row r="161" spans="2:21" x14ac:dyDescent="0.3">
      <c r="B161">
        <v>2012</v>
      </c>
      <c r="C161">
        <v>2015</v>
      </c>
      <c r="D161">
        <v>20</v>
      </c>
      <c r="E161">
        <v>2035</v>
      </c>
      <c r="F161">
        <v>3</v>
      </c>
      <c r="G161">
        <v>0</v>
      </c>
      <c r="R161">
        <v>12</v>
      </c>
      <c r="U161">
        <v>20</v>
      </c>
    </row>
    <row r="162" spans="2:21" x14ac:dyDescent="0.3">
      <c r="B162">
        <v>2032</v>
      </c>
      <c r="C162">
        <v>2035</v>
      </c>
      <c r="D162">
        <v>7</v>
      </c>
      <c r="E162">
        <v>2042</v>
      </c>
      <c r="F162">
        <v>3</v>
      </c>
      <c r="G162">
        <v>0</v>
      </c>
      <c r="R162">
        <v>20</v>
      </c>
      <c r="U162">
        <v>7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BD5F-0605-44D8-83B9-FE8AEF834932}">
  <dimension ref="A1:I501"/>
  <sheetViews>
    <sheetView zoomScale="85" zoomScaleNormal="85" workbookViewId="0">
      <selection activeCell="I2" sqref="I2"/>
    </sheetView>
  </sheetViews>
  <sheetFormatPr defaultRowHeight="14.4" x14ac:dyDescent="0.3"/>
  <cols>
    <col min="3" max="3" width="9.88671875" customWidth="1"/>
  </cols>
  <sheetData>
    <row r="1" spans="1:9" x14ac:dyDescent="0.3">
      <c r="C1" t="s">
        <v>13</v>
      </c>
      <c r="D1" t="s">
        <v>14</v>
      </c>
      <c r="E1" t="s">
        <v>15</v>
      </c>
    </row>
    <row r="2" spans="1:9" x14ac:dyDescent="0.3">
      <c r="A2">
        <f ca="1">ROUND(RAND(),0)</f>
        <v>1</v>
      </c>
      <c r="C2">
        <f ca="1">COUNTIF(A$2:A2,1)</f>
        <v>1</v>
      </c>
      <c r="D2">
        <f ca="1">COUNTIF(A$2:A2,0)</f>
        <v>0</v>
      </c>
      <c r="E2">
        <f ca="1">C2/(C2+D2)*100</f>
        <v>100</v>
      </c>
      <c r="I2">
        <f ca="1">C2/(SUM($C2:$H2))*100</f>
        <v>0.99009900990099009</v>
      </c>
    </row>
    <row r="3" spans="1:9" x14ac:dyDescent="0.3">
      <c r="A3">
        <f ca="1">ROUND(RAND(),0)</f>
        <v>1</v>
      </c>
      <c r="C3">
        <f ca="1">COUNTIF(A$2:A3,1)</f>
        <v>2</v>
      </c>
      <c r="D3">
        <f ca="1">COUNTIF(A$2:A3,0)</f>
        <v>0</v>
      </c>
      <c r="E3">
        <f t="shared" ref="E3:E66" ca="1" si="0">C3/(C3+D3)*100</f>
        <v>100</v>
      </c>
    </row>
    <row r="4" spans="1:9" x14ac:dyDescent="0.3">
      <c r="A4">
        <f ca="1">ROUND(RAND(),0)</f>
        <v>1</v>
      </c>
      <c r="C4">
        <f ca="1">COUNTIF(A$2:A4,1)</f>
        <v>3</v>
      </c>
      <c r="D4">
        <f ca="1">COUNTIF(A$2:A4,0)</f>
        <v>0</v>
      </c>
      <c r="E4">
        <f t="shared" ca="1" si="0"/>
        <v>100</v>
      </c>
    </row>
    <row r="5" spans="1:9" x14ac:dyDescent="0.3">
      <c r="A5">
        <f t="shared" ref="A5:A9" ca="1" si="1">ROUND(RAND(),0)</f>
        <v>0</v>
      </c>
      <c r="C5">
        <f ca="1">COUNTIF(A$2:A5,1)</f>
        <v>3</v>
      </c>
      <c r="D5">
        <f ca="1">COUNTIF(A$2:A5,0)</f>
        <v>1</v>
      </c>
      <c r="E5">
        <f t="shared" ca="1" si="0"/>
        <v>75</v>
      </c>
    </row>
    <row r="6" spans="1:9" x14ac:dyDescent="0.3">
      <c r="A6">
        <f t="shared" ca="1" si="1"/>
        <v>0</v>
      </c>
      <c r="C6">
        <f ca="1">COUNTIF(A$2:A6,1)</f>
        <v>3</v>
      </c>
      <c r="D6">
        <f ca="1">COUNTIF(A$2:A6,0)</f>
        <v>2</v>
      </c>
      <c r="E6">
        <f t="shared" ca="1" si="0"/>
        <v>60</v>
      </c>
    </row>
    <row r="7" spans="1:9" x14ac:dyDescent="0.3">
      <c r="A7">
        <f t="shared" ca="1" si="1"/>
        <v>0</v>
      </c>
      <c r="C7">
        <f ca="1">COUNTIF(A$2:A7,1)</f>
        <v>3</v>
      </c>
      <c r="D7">
        <f ca="1">COUNTIF(A$2:A7,0)</f>
        <v>3</v>
      </c>
      <c r="E7">
        <f t="shared" ca="1" si="0"/>
        <v>50</v>
      </c>
    </row>
    <row r="8" spans="1:9" x14ac:dyDescent="0.3">
      <c r="A8">
        <f t="shared" ca="1" si="1"/>
        <v>0</v>
      </c>
      <c r="C8">
        <f ca="1">COUNTIF(A$2:A8,1)</f>
        <v>3</v>
      </c>
      <c r="D8">
        <f ca="1">COUNTIF(A$2:A8,0)</f>
        <v>4</v>
      </c>
      <c r="E8">
        <f t="shared" ca="1" si="0"/>
        <v>42.857142857142854</v>
      </c>
    </row>
    <row r="9" spans="1:9" x14ac:dyDescent="0.3">
      <c r="A9">
        <f t="shared" ca="1" si="1"/>
        <v>1</v>
      </c>
      <c r="C9">
        <f ca="1">COUNTIF(A$2:A9,1)</f>
        <v>4</v>
      </c>
      <c r="D9">
        <f ca="1">COUNTIF(A$2:A9,0)</f>
        <v>4</v>
      </c>
      <c r="E9">
        <f t="shared" ca="1" si="0"/>
        <v>50</v>
      </c>
    </row>
    <row r="10" spans="1:9" x14ac:dyDescent="0.3">
      <c r="A10">
        <f t="shared" ref="A10:A73" ca="1" si="2">ROUND(RAND(),0)</f>
        <v>1</v>
      </c>
      <c r="C10">
        <f ca="1">COUNTIF(A$2:A10,1)</f>
        <v>5</v>
      </c>
      <c r="D10">
        <f ca="1">COUNTIF(A$2:A10,0)</f>
        <v>4</v>
      </c>
      <c r="E10">
        <f t="shared" ca="1" si="0"/>
        <v>55.555555555555557</v>
      </c>
    </row>
    <row r="11" spans="1:9" x14ac:dyDescent="0.3">
      <c r="A11">
        <f t="shared" ca="1" si="2"/>
        <v>1</v>
      </c>
      <c r="C11">
        <f ca="1">COUNTIF(A$2:A11,1)</f>
        <v>6</v>
      </c>
      <c r="D11">
        <f ca="1">COUNTIF(A$2:A11,0)</f>
        <v>4</v>
      </c>
      <c r="E11">
        <f t="shared" ca="1" si="0"/>
        <v>60</v>
      </c>
    </row>
    <row r="12" spans="1:9" x14ac:dyDescent="0.3">
      <c r="A12">
        <f t="shared" ca="1" si="2"/>
        <v>1</v>
      </c>
      <c r="C12">
        <f ca="1">COUNTIF(A$2:A12,1)</f>
        <v>7</v>
      </c>
      <c r="D12">
        <f ca="1">COUNTIF(A$2:A12,0)</f>
        <v>4</v>
      </c>
      <c r="E12">
        <f t="shared" ca="1" si="0"/>
        <v>63.636363636363633</v>
      </c>
    </row>
    <row r="13" spans="1:9" x14ac:dyDescent="0.3">
      <c r="A13">
        <f t="shared" ca="1" si="2"/>
        <v>1</v>
      </c>
      <c r="C13">
        <f ca="1">COUNTIF(A$2:A13,1)</f>
        <v>8</v>
      </c>
      <c r="D13">
        <f ca="1">COUNTIF(A$2:A13,0)</f>
        <v>4</v>
      </c>
      <c r="E13">
        <f t="shared" ca="1" si="0"/>
        <v>66.666666666666657</v>
      </c>
    </row>
    <row r="14" spans="1:9" x14ac:dyDescent="0.3">
      <c r="A14">
        <f ca="1">ROUND(RAND(),0)</f>
        <v>1</v>
      </c>
      <c r="C14">
        <f ca="1">COUNTIF(A$2:A14,1)</f>
        <v>9</v>
      </c>
      <c r="D14">
        <f ca="1">COUNTIF(A$2:A14,0)</f>
        <v>4</v>
      </c>
      <c r="E14">
        <f t="shared" ca="1" si="0"/>
        <v>69.230769230769226</v>
      </c>
    </row>
    <row r="15" spans="1:9" x14ac:dyDescent="0.3">
      <c r="A15">
        <f ca="1">ROUND(RAND(),0)</f>
        <v>1</v>
      </c>
      <c r="C15">
        <f ca="1">COUNTIF(A$2:A15,1)</f>
        <v>10</v>
      </c>
      <c r="D15">
        <f ca="1">COUNTIF(A$2:A15,0)</f>
        <v>4</v>
      </c>
      <c r="E15">
        <f t="shared" ca="1" si="0"/>
        <v>71.428571428571431</v>
      </c>
    </row>
    <row r="16" spans="1:9" x14ac:dyDescent="0.3">
      <c r="A16">
        <f t="shared" ca="1" si="2"/>
        <v>0</v>
      </c>
      <c r="C16">
        <f ca="1">COUNTIF(A$2:A16,1)</f>
        <v>10</v>
      </c>
      <c r="D16">
        <f ca="1">COUNTIF(A$2:A16,0)</f>
        <v>5</v>
      </c>
      <c r="E16">
        <f t="shared" ca="1" si="0"/>
        <v>66.666666666666657</v>
      </c>
    </row>
    <row r="17" spans="1:5" x14ac:dyDescent="0.3">
      <c r="A17">
        <f ca="1">ROUND(RAND(),0)</f>
        <v>0</v>
      </c>
      <c r="C17">
        <f ca="1">COUNTIF(A$2:A17,1)</f>
        <v>10</v>
      </c>
      <c r="D17">
        <f ca="1">COUNTIF(A$2:A17,0)</f>
        <v>6</v>
      </c>
      <c r="E17">
        <f t="shared" ca="1" si="0"/>
        <v>62.5</v>
      </c>
    </row>
    <row r="18" spans="1:5" x14ac:dyDescent="0.3">
      <c r="A18">
        <f t="shared" ca="1" si="2"/>
        <v>1</v>
      </c>
      <c r="C18">
        <f ca="1">COUNTIF(A$2:A18,1)</f>
        <v>11</v>
      </c>
      <c r="D18">
        <f ca="1">COUNTIF(A$2:A18,0)</f>
        <v>6</v>
      </c>
      <c r="E18">
        <f t="shared" ca="1" si="0"/>
        <v>64.705882352941174</v>
      </c>
    </row>
    <row r="19" spans="1:5" x14ac:dyDescent="0.3">
      <c r="A19">
        <f t="shared" ca="1" si="2"/>
        <v>1</v>
      </c>
      <c r="C19">
        <f ca="1">COUNTIF(A$2:A19,1)</f>
        <v>12</v>
      </c>
      <c r="D19">
        <f ca="1">COUNTIF(A$2:A19,0)</f>
        <v>6</v>
      </c>
      <c r="E19">
        <f t="shared" ca="1" si="0"/>
        <v>66.666666666666657</v>
      </c>
    </row>
    <row r="20" spans="1:5" x14ac:dyDescent="0.3">
      <c r="A20">
        <f t="shared" ca="1" si="2"/>
        <v>1</v>
      </c>
      <c r="C20">
        <f ca="1">COUNTIF(A$2:A20,1)</f>
        <v>13</v>
      </c>
      <c r="D20">
        <f ca="1">COUNTIF(A$2:A20,0)</f>
        <v>6</v>
      </c>
      <c r="E20">
        <f t="shared" ca="1" si="0"/>
        <v>68.421052631578945</v>
      </c>
    </row>
    <row r="21" spans="1:5" x14ac:dyDescent="0.3">
      <c r="A21">
        <f t="shared" ca="1" si="2"/>
        <v>1</v>
      </c>
      <c r="C21">
        <f ca="1">COUNTIF(A$2:A21,1)</f>
        <v>14</v>
      </c>
      <c r="D21">
        <f ca="1">COUNTIF(A$2:A21,0)</f>
        <v>6</v>
      </c>
      <c r="E21">
        <f t="shared" ca="1" si="0"/>
        <v>70</v>
      </c>
    </row>
    <row r="22" spans="1:5" x14ac:dyDescent="0.3">
      <c r="A22">
        <f t="shared" ca="1" si="2"/>
        <v>0</v>
      </c>
      <c r="C22">
        <f ca="1">COUNTIF(A$2:A22,1)</f>
        <v>14</v>
      </c>
      <c r="D22">
        <f ca="1">COUNTIF(A$2:A22,0)</f>
        <v>7</v>
      </c>
      <c r="E22">
        <f t="shared" ca="1" si="0"/>
        <v>66.666666666666657</v>
      </c>
    </row>
    <row r="23" spans="1:5" x14ac:dyDescent="0.3">
      <c r="A23">
        <f t="shared" ca="1" si="2"/>
        <v>0</v>
      </c>
      <c r="C23">
        <f ca="1">COUNTIF(A$2:A23,1)</f>
        <v>14</v>
      </c>
      <c r="D23">
        <f ca="1">COUNTIF(A$2:A23,0)</f>
        <v>8</v>
      </c>
      <c r="E23">
        <f t="shared" ca="1" si="0"/>
        <v>63.636363636363633</v>
      </c>
    </row>
    <row r="24" spans="1:5" x14ac:dyDescent="0.3">
      <c r="A24">
        <f t="shared" ca="1" si="2"/>
        <v>1</v>
      </c>
      <c r="C24">
        <f ca="1">COUNTIF(A$2:A24,1)</f>
        <v>15</v>
      </c>
      <c r="D24">
        <f ca="1">COUNTIF(A$2:A24,0)</f>
        <v>8</v>
      </c>
      <c r="E24">
        <f t="shared" ca="1" si="0"/>
        <v>65.217391304347828</v>
      </c>
    </row>
    <row r="25" spans="1:5" x14ac:dyDescent="0.3">
      <c r="A25">
        <f t="shared" ca="1" si="2"/>
        <v>0</v>
      </c>
      <c r="C25">
        <f ca="1">COUNTIF(A$2:A25,1)</f>
        <v>15</v>
      </c>
      <c r="D25">
        <f ca="1">COUNTIF(A$2:A25,0)</f>
        <v>9</v>
      </c>
      <c r="E25">
        <f t="shared" ca="1" si="0"/>
        <v>62.5</v>
      </c>
    </row>
    <row r="26" spans="1:5" x14ac:dyDescent="0.3">
      <c r="A26">
        <f t="shared" ca="1" si="2"/>
        <v>0</v>
      </c>
      <c r="C26">
        <f ca="1">COUNTIF(A$2:A26,1)</f>
        <v>15</v>
      </c>
      <c r="D26">
        <f ca="1">COUNTIF(A$2:A26,0)</f>
        <v>10</v>
      </c>
      <c r="E26">
        <f t="shared" ca="1" si="0"/>
        <v>60</v>
      </c>
    </row>
    <row r="27" spans="1:5" x14ac:dyDescent="0.3">
      <c r="A27">
        <f t="shared" ca="1" si="2"/>
        <v>1</v>
      </c>
      <c r="C27">
        <f ca="1">COUNTIF(A$2:A27,1)</f>
        <v>16</v>
      </c>
      <c r="D27">
        <f ca="1">COUNTIF(A$2:A27,0)</f>
        <v>10</v>
      </c>
      <c r="E27">
        <f t="shared" ca="1" si="0"/>
        <v>61.53846153846154</v>
      </c>
    </row>
    <row r="28" spans="1:5" x14ac:dyDescent="0.3">
      <c r="A28">
        <f t="shared" ca="1" si="2"/>
        <v>0</v>
      </c>
      <c r="C28">
        <f ca="1">COUNTIF(A$2:A28,1)</f>
        <v>16</v>
      </c>
      <c r="D28">
        <f ca="1">COUNTIF(A$2:A28,0)</f>
        <v>11</v>
      </c>
      <c r="E28">
        <f t="shared" ca="1" si="0"/>
        <v>59.259259259259252</v>
      </c>
    </row>
    <row r="29" spans="1:5" x14ac:dyDescent="0.3">
      <c r="A29">
        <f t="shared" ca="1" si="2"/>
        <v>0</v>
      </c>
      <c r="C29">
        <f ca="1">COUNTIF(A$2:A29,1)</f>
        <v>16</v>
      </c>
      <c r="D29">
        <f ca="1">COUNTIF(A$2:A29,0)</f>
        <v>12</v>
      </c>
      <c r="E29">
        <f t="shared" ca="1" si="0"/>
        <v>57.142857142857139</v>
      </c>
    </row>
    <row r="30" spans="1:5" x14ac:dyDescent="0.3">
      <c r="A30">
        <f t="shared" ca="1" si="2"/>
        <v>1</v>
      </c>
      <c r="C30">
        <f ca="1">COUNTIF(A$2:A30,1)</f>
        <v>17</v>
      </c>
      <c r="D30">
        <f ca="1">COUNTIF(A$2:A30,0)</f>
        <v>12</v>
      </c>
      <c r="E30">
        <f t="shared" ca="1" si="0"/>
        <v>58.620689655172406</v>
      </c>
    </row>
    <row r="31" spans="1:5" x14ac:dyDescent="0.3">
      <c r="A31">
        <f t="shared" ca="1" si="2"/>
        <v>1</v>
      </c>
      <c r="C31">
        <f ca="1">COUNTIF(A$2:A31,1)</f>
        <v>18</v>
      </c>
      <c r="D31">
        <f ca="1">COUNTIF(A$2:A31,0)</f>
        <v>12</v>
      </c>
      <c r="E31">
        <f t="shared" ca="1" si="0"/>
        <v>60</v>
      </c>
    </row>
    <row r="32" spans="1:5" x14ac:dyDescent="0.3">
      <c r="A32">
        <f t="shared" ca="1" si="2"/>
        <v>0</v>
      </c>
      <c r="C32">
        <f ca="1">COUNTIF(A$2:A32,1)</f>
        <v>18</v>
      </c>
      <c r="D32">
        <f ca="1">COUNTIF(A$2:A32,0)</f>
        <v>13</v>
      </c>
      <c r="E32">
        <f t="shared" ca="1" si="0"/>
        <v>58.064516129032263</v>
      </c>
    </row>
    <row r="33" spans="1:5" x14ac:dyDescent="0.3">
      <c r="A33">
        <f t="shared" ca="1" si="2"/>
        <v>0</v>
      </c>
      <c r="C33">
        <f ca="1">COUNTIF(A$2:A33,1)</f>
        <v>18</v>
      </c>
      <c r="D33">
        <f ca="1">COUNTIF(A$2:A33,0)</f>
        <v>14</v>
      </c>
      <c r="E33">
        <f t="shared" ca="1" si="0"/>
        <v>56.25</v>
      </c>
    </row>
    <row r="34" spans="1:5" x14ac:dyDescent="0.3">
      <c r="A34">
        <f t="shared" ca="1" si="2"/>
        <v>1</v>
      </c>
      <c r="C34">
        <f ca="1">COUNTIF(A$2:A34,1)</f>
        <v>19</v>
      </c>
      <c r="D34">
        <f ca="1">COUNTIF(A$2:A34,0)</f>
        <v>14</v>
      </c>
      <c r="E34">
        <f t="shared" ca="1" si="0"/>
        <v>57.575757575757578</v>
      </c>
    </row>
    <row r="35" spans="1:5" x14ac:dyDescent="0.3">
      <c r="A35">
        <f t="shared" ca="1" si="2"/>
        <v>0</v>
      </c>
      <c r="C35">
        <f ca="1">COUNTIF(A$2:A35,1)</f>
        <v>19</v>
      </c>
      <c r="D35">
        <f ca="1">COUNTIF(A$2:A35,0)</f>
        <v>15</v>
      </c>
      <c r="E35">
        <f t="shared" ca="1" si="0"/>
        <v>55.882352941176471</v>
      </c>
    </row>
    <row r="36" spans="1:5" x14ac:dyDescent="0.3">
      <c r="A36">
        <f t="shared" ca="1" si="2"/>
        <v>1</v>
      </c>
      <c r="C36">
        <f ca="1">COUNTIF(A$2:A36,1)</f>
        <v>20</v>
      </c>
      <c r="D36">
        <f ca="1">COUNTIF(A$2:A36,0)</f>
        <v>15</v>
      </c>
      <c r="E36">
        <f t="shared" ca="1" si="0"/>
        <v>57.142857142857139</v>
      </c>
    </row>
    <row r="37" spans="1:5" x14ac:dyDescent="0.3">
      <c r="A37">
        <f t="shared" ca="1" si="2"/>
        <v>0</v>
      </c>
      <c r="C37">
        <f ca="1">COUNTIF(A$2:A37,1)</f>
        <v>20</v>
      </c>
      <c r="D37">
        <f ca="1">COUNTIF(A$2:A37,0)</f>
        <v>16</v>
      </c>
      <c r="E37">
        <f t="shared" ca="1" si="0"/>
        <v>55.555555555555557</v>
      </c>
    </row>
    <row r="38" spans="1:5" x14ac:dyDescent="0.3">
      <c r="A38">
        <f t="shared" ca="1" si="2"/>
        <v>1</v>
      </c>
      <c r="C38">
        <f ca="1">COUNTIF(A$2:A38,1)</f>
        <v>21</v>
      </c>
      <c r="D38">
        <f ca="1">COUNTIF(A$2:A38,0)</f>
        <v>16</v>
      </c>
      <c r="E38">
        <f t="shared" ca="1" si="0"/>
        <v>56.756756756756758</v>
      </c>
    </row>
    <row r="39" spans="1:5" x14ac:dyDescent="0.3">
      <c r="A39">
        <f t="shared" ca="1" si="2"/>
        <v>1</v>
      </c>
      <c r="C39">
        <f ca="1">COUNTIF(A$2:A39,1)</f>
        <v>22</v>
      </c>
      <c r="D39">
        <f ca="1">COUNTIF(A$2:A39,0)</f>
        <v>16</v>
      </c>
      <c r="E39">
        <f t="shared" ca="1" si="0"/>
        <v>57.894736842105267</v>
      </c>
    </row>
    <row r="40" spans="1:5" x14ac:dyDescent="0.3">
      <c r="A40">
        <f t="shared" ca="1" si="2"/>
        <v>0</v>
      </c>
      <c r="C40">
        <f ca="1">COUNTIF(A$2:A40,1)</f>
        <v>22</v>
      </c>
      <c r="D40">
        <f ca="1">COUNTIF(A$2:A40,0)</f>
        <v>17</v>
      </c>
      <c r="E40">
        <f t="shared" ca="1" si="0"/>
        <v>56.410256410256409</v>
      </c>
    </row>
    <row r="41" spans="1:5" x14ac:dyDescent="0.3">
      <c r="A41">
        <f t="shared" ca="1" si="2"/>
        <v>0</v>
      </c>
      <c r="C41">
        <f ca="1">COUNTIF(A$2:A41,1)</f>
        <v>22</v>
      </c>
      <c r="D41">
        <f ca="1">COUNTIF(A$2:A41,0)</f>
        <v>18</v>
      </c>
      <c r="E41">
        <f t="shared" ca="1" si="0"/>
        <v>55.000000000000007</v>
      </c>
    </row>
    <row r="42" spans="1:5" x14ac:dyDescent="0.3">
      <c r="A42">
        <f t="shared" ca="1" si="2"/>
        <v>0</v>
      </c>
      <c r="C42">
        <f ca="1">COUNTIF(A$2:A42,1)</f>
        <v>22</v>
      </c>
      <c r="D42">
        <f ca="1">COUNTIF(A$2:A42,0)</f>
        <v>19</v>
      </c>
      <c r="E42">
        <f t="shared" ca="1" si="0"/>
        <v>53.658536585365859</v>
      </c>
    </row>
    <row r="43" spans="1:5" x14ac:dyDescent="0.3">
      <c r="A43">
        <f t="shared" ca="1" si="2"/>
        <v>0</v>
      </c>
      <c r="C43">
        <f ca="1">COUNTIF(A$2:A43,1)</f>
        <v>22</v>
      </c>
      <c r="D43">
        <f ca="1">COUNTIF(A$2:A43,0)</f>
        <v>20</v>
      </c>
      <c r="E43">
        <f t="shared" ca="1" si="0"/>
        <v>52.380952380952387</v>
      </c>
    </row>
    <row r="44" spans="1:5" x14ac:dyDescent="0.3">
      <c r="A44">
        <f t="shared" ca="1" si="2"/>
        <v>1</v>
      </c>
      <c r="C44">
        <f ca="1">COUNTIF(A$2:A44,1)</f>
        <v>23</v>
      </c>
      <c r="D44">
        <f ca="1">COUNTIF(A$2:A44,0)</f>
        <v>20</v>
      </c>
      <c r="E44">
        <f t="shared" ca="1" si="0"/>
        <v>53.488372093023251</v>
      </c>
    </row>
    <row r="45" spans="1:5" x14ac:dyDescent="0.3">
      <c r="A45">
        <f t="shared" ca="1" si="2"/>
        <v>0</v>
      </c>
      <c r="C45">
        <f ca="1">COUNTIF(A$2:A45,1)</f>
        <v>23</v>
      </c>
      <c r="D45">
        <f ca="1">COUNTIF(A$2:A45,0)</f>
        <v>21</v>
      </c>
      <c r="E45">
        <f t="shared" ca="1" si="0"/>
        <v>52.272727272727273</v>
      </c>
    </row>
    <row r="46" spans="1:5" x14ac:dyDescent="0.3">
      <c r="A46">
        <f t="shared" ca="1" si="2"/>
        <v>1</v>
      </c>
      <c r="C46">
        <f ca="1">COUNTIF(A$2:A46,1)</f>
        <v>24</v>
      </c>
      <c r="D46">
        <f ca="1">COUNTIF(A$2:A46,0)</f>
        <v>21</v>
      </c>
      <c r="E46">
        <f t="shared" ca="1" si="0"/>
        <v>53.333333333333336</v>
      </c>
    </row>
    <row r="47" spans="1:5" x14ac:dyDescent="0.3">
      <c r="A47">
        <f t="shared" ca="1" si="2"/>
        <v>1</v>
      </c>
      <c r="C47">
        <f ca="1">COUNTIF(A$2:A47,1)</f>
        <v>25</v>
      </c>
      <c r="D47">
        <f ca="1">COUNTIF(A$2:A47,0)</f>
        <v>21</v>
      </c>
      <c r="E47">
        <f t="shared" ca="1" si="0"/>
        <v>54.347826086956516</v>
      </c>
    </row>
    <row r="48" spans="1:5" x14ac:dyDescent="0.3">
      <c r="A48">
        <f t="shared" ca="1" si="2"/>
        <v>1</v>
      </c>
      <c r="C48">
        <f ca="1">COUNTIF(A$2:A48,1)</f>
        <v>26</v>
      </c>
      <c r="D48">
        <f ca="1">COUNTIF(A$2:A48,0)</f>
        <v>21</v>
      </c>
      <c r="E48">
        <f t="shared" ca="1" si="0"/>
        <v>55.319148936170215</v>
      </c>
    </row>
    <row r="49" spans="1:5" x14ac:dyDescent="0.3">
      <c r="A49">
        <f t="shared" ca="1" si="2"/>
        <v>0</v>
      </c>
      <c r="C49">
        <f ca="1">COUNTIF(A$2:A49,1)</f>
        <v>26</v>
      </c>
      <c r="D49">
        <f ca="1">COUNTIF(A$2:A49,0)</f>
        <v>22</v>
      </c>
      <c r="E49">
        <f t="shared" ca="1" si="0"/>
        <v>54.166666666666664</v>
      </c>
    </row>
    <row r="50" spans="1:5" x14ac:dyDescent="0.3">
      <c r="A50">
        <f t="shared" ca="1" si="2"/>
        <v>1</v>
      </c>
      <c r="C50">
        <f ca="1">COUNTIF(A$2:A50,1)</f>
        <v>27</v>
      </c>
      <c r="D50">
        <f ca="1">COUNTIF(A$2:A50,0)</f>
        <v>22</v>
      </c>
      <c r="E50">
        <f t="shared" ca="1" si="0"/>
        <v>55.102040816326522</v>
      </c>
    </row>
    <row r="51" spans="1:5" x14ac:dyDescent="0.3">
      <c r="A51">
        <f t="shared" ca="1" si="2"/>
        <v>1</v>
      </c>
      <c r="C51">
        <f ca="1">COUNTIF(A$2:A51,1)</f>
        <v>28</v>
      </c>
      <c r="D51">
        <f ca="1">COUNTIF(A$2:A51,0)</f>
        <v>22</v>
      </c>
      <c r="E51">
        <f t="shared" ca="1" si="0"/>
        <v>56.000000000000007</v>
      </c>
    </row>
    <row r="52" spans="1:5" x14ac:dyDescent="0.3">
      <c r="A52">
        <f t="shared" ca="1" si="2"/>
        <v>1</v>
      </c>
      <c r="C52">
        <f ca="1">COUNTIF(A$2:A52,1)</f>
        <v>29</v>
      </c>
      <c r="D52">
        <f ca="1">COUNTIF(A$2:A52,0)</f>
        <v>22</v>
      </c>
      <c r="E52">
        <f t="shared" ca="1" si="0"/>
        <v>56.862745098039213</v>
      </c>
    </row>
    <row r="53" spans="1:5" x14ac:dyDescent="0.3">
      <c r="A53">
        <f t="shared" ca="1" si="2"/>
        <v>0</v>
      </c>
      <c r="C53">
        <f ca="1">COUNTIF(A$2:A53,1)</f>
        <v>29</v>
      </c>
      <c r="D53">
        <f ca="1">COUNTIF(A$2:A53,0)</f>
        <v>23</v>
      </c>
      <c r="E53">
        <f t="shared" ca="1" si="0"/>
        <v>55.769230769230774</v>
      </c>
    </row>
    <row r="54" spans="1:5" x14ac:dyDescent="0.3">
      <c r="A54">
        <f t="shared" ca="1" si="2"/>
        <v>1</v>
      </c>
      <c r="C54">
        <f ca="1">COUNTIF(A$2:A54,1)</f>
        <v>30</v>
      </c>
      <c r="D54">
        <f ca="1">COUNTIF(A$2:A54,0)</f>
        <v>23</v>
      </c>
      <c r="E54">
        <f t="shared" ca="1" si="0"/>
        <v>56.60377358490566</v>
      </c>
    </row>
    <row r="55" spans="1:5" x14ac:dyDescent="0.3">
      <c r="A55">
        <f t="shared" ca="1" si="2"/>
        <v>1</v>
      </c>
      <c r="C55">
        <f ca="1">COUNTIF(A$2:A55,1)</f>
        <v>31</v>
      </c>
      <c r="D55">
        <f ca="1">COUNTIF(A$2:A55,0)</f>
        <v>23</v>
      </c>
      <c r="E55">
        <f t="shared" ca="1" si="0"/>
        <v>57.407407407407405</v>
      </c>
    </row>
    <row r="56" spans="1:5" x14ac:dyDescent="0.3">
      <c r="A56">
        <f t="shared" ca="1" si="2"/>
        <v>0</v>
      </c>
      <c r="C56">
        <f ca="1">COUNTIF(A$2:A56,1)</f>
        <v>31</v>
      </c>
      <c r="D56">
        <f ca="1">COUNTIF(A$2:A56,0)</f>
        <v>24</v>
      </c>
      <c r="E56">
        <f t="shared" ca="1" si="0"/>
        <v>56.36363636363636</v>
      </c>
    </row>
    <row r="57" spans="1:5" x14ac:dyDescent="0.3">
      <c r="A57">
        <f t="shared" ca="1" si="2"/>
        <v>0</v>
      </c>
      <c r="C57">
        <f ca="1">COUNTIF(A$2:A57,1)</f>
        <v>31</v>
      </c>
      <c r="D57">
        <f ca="1">COUNTIF(A$2:A57,0)</f>
        <v>25</v>
      </c>
      <c r="E57">
        <f t="shared" ca="1" si="0"/>
        <v>55.357142857142861</v>
      </c>
    </row>
    <row r="58" spans="1:5" x14ac:dyDescent="0.3">
      <c r="A58">
        <f t="shared" ca="1" si="2"/>
        <v>1</v>
      </c>
      <c r="C58">
        <f ca="1">COUNTIF(A$2:A58,1)</f>
        <v>32</v>
      </c>
      <c r="D58">
        <f ca="1">COUNTIF(A$2:A58,0)</f>
        <v>25</v>
      </c>
      <c r="E58">
        <f t="shared" ca="1" si="0"/>
        <v>56.140350877192979</v>
      </c>
    </row>
    <row r="59" spans="1:5" x14ac:dyDescent="0.3">
      <c r="A59">
        <f t="shared" ca="1" si="2"/>
        <v>0</v>
      </c>
      <c r="C59">
        <f ca="1">COUNTIF(A$2:A59,1)</f>
        <v>32</v>
      </c>
      <c r="D59">
        <f ca="1">COUNTIF(A$2:A59,0)</f>
        <v>26</v>
      </c>
      <c r="E59">
        <f t="shared" ca="1" si="0"/>
        <v>55.172413793103445</v>
      </c>
    </row>
    <row r="60" spans="1:5" x14ac:dyDescent="0.3">
      <c r="A60">
        <f t="shared" ca="1" si="2"/>
        <v>1</v>
      </c>
      <c r="C60">
        <f ca="1">COUNTIF(A$2:A60,1)</f>
        <v>33</v>
      </c>
      <c r="D60">
        <f ca="1">COUNTIF(A$2:A60,0)</f>
        <v>26</v>
      </c>
      <c r="E60">
        <f t="shared" ca="1" si="0"/>
        <v>55.932203389830505</v>
      </c>
    </row>
    <row r="61" spans="1:5" x14ac:dyDescent="0.3">
      <c r="A61">
        <f t="shared" ca="1" si="2"/>
        <v>0</v>
      </c>
      <c r="C61">
        <f ca="1">COUNTIF(A$2:A61,1)</f>
        <v>33</v>
      </c>
      <c r="D61">
        <f ca="1">COUNTIF(A$2:A61,0)</f>
        <v>27</v>
      </c>
      <c r="E61">
        <f t="shared" ca="1" si="0"/>
        <v>55.000000000000007</v>
      </c>
    </row>
    <row r="62" spans="1:5" x14ac:dyDescent="0.3">
      <c r="A62">
        <f t="shared" ca="1" si="2"/>
        <v>1</v>
      </c>
      <c r="C62">
        <f ca="1">COUNTIF(A$2:A62,1)</f>
        <v>34</v>
      </c>
      <c r="D62">
        <f ca="1">COUNTIF(A$2:A62,0)</f>
        <v>27</v>
      </c>
      <c r="E62">
        <f t="shared" ca="1" si="0"/>
        <v>55.737704918032783</v>
      </c>
    </row>
    <row r="63" spans="1:5" x14ac:dyDescent="0.3">
      <c r="A63">
        <f t="shared" ca="1" si="2"/>
        <v>1</v>
      </c>
      <c r="C63">
        <f ca="1">COUNTIF(A$2:A63,1)</f>
        <v>35</v>
      </c>
      <c r="D63">
        <f ca="1">COUNTIF(A$2:A63,0)</f>
        <v>27</v>
      </c>
      <c r="E63">
        <f t="shared" ca="1" si="0"/>
        <v>56.451612903225815</v>
      </c>
    </row>
    <row r="64" spans="1:5" x14ac:dyDescent="0.3">
      <c r="A64">
        <f t="shared" ca="1" si="2"/>
        <v>1</v>
      </c>
      <c r="C64">
        <f ca="1">COUNTIF(A$2:A64,1)</f>
        <v>36</v>
      </c>
      <c r="D64">
        <f ca="1">COUNTIF(A$2:A64,0)</f>
        <v>27</v>
      </c>
      <c r="E64">
        <f t="shared" ca="1" si="0"/>
        <v>57.142857142857139</v>
      </c>
    </row>
    <row r="65" spans="1:5" x14ac:dyDescent="0.3">
      <c r="A65">
        <f t="shared" ca="1" si="2"/>
        <v>1</v>
      </c>
      <c r="C65">
        <f ca="1">COUNTIF(A$2:A65,1)</f>
        <v>37</v>
      </c>
      <c r="D65">
        <f ca="1">COUNTIF(A$2:A65,0)</f>
        <v>27</v>
      </c>
      <c r="E65">
        <f t="shared" ca="1" si="0"/>
        <v>57.8125</v>
      </c>
    </row>
    <row r="66" spans="1:5" x14ac:dyDescent="0.3">
      <c r="A66">
        <f t="shared" ca="1" si="2"/>
        <v>1</v>
      </c>
      <c r="C66">
        <f ca="1">COUNTIF(A$2:A66,1)</f>
        <v>38</v>
      </c>
      <c r="D66">
        <f ca="1">COUNTIF(A$2:A66,0)</f>
        <v>27</v>
      </c>
      <c r="E66">
        <f t="shared" ca="1" si="0"/>
        <v>58.461538461538467</v>
      </c>
    </row>
    <row r="67" spans="1:5" x14ac:dyDescent="0.3">
      <c r="A67">
        <f t="shared" ca="1" si="2"/>
        <v>1</v>
      </c>
      <c r="C67">
        <f ca="1">COUNTIF(A$2:A67,1)</f>
        <v>39</v>
      </c>
      <c r="D67">
        <f ca="1">COUNTIF(A$2:A67,0)</f>
        <v>27</v>
      </c>
      <c r="E67">
        <f t="shared" ref="E67:E130" ca="1" si="3">C67/(C67+D67)*100</f>
        <v>59.090909090909093</v>
      </c>
    </row>
    <row r="68" spans="1:5" x14ac:dyDescent="0.3">
      <c r="A68">
        <f t="shared" ca="1" si="2"/>
        <v>0</v>
      </c>
      <c r="C68">
        <f ca="1">COUNTIF(A$2:A68,1)</f>
        <v>39</v>
      </c>
      <c r="D68">
        <f ca="1">COUNTIF(A$2:A68,0)</f>
        <v>28</v>
      </c>
      <c r="E68">
        <f t="shared" ca="1" si="3"/>
        <v>58.208955223880601</v>
      </c>
    </row>
    <row r="69" spans="1:5" x14ac:dyDescent="0.3">
      <c r="A69">
        <f t="shared" ca="1" si="2"/>
        <v>1</v>
      </c>
      <c r="C69">
        <f ca="1">COUNTIF(A$2:A69,1)</f>
        <v>40</v>
      </c>
      <c r="D69">
        <f ca="1">COUNTIF(A$2:A69,0)</f>
        <v>28</v>
      </c>
      <c r="E69">
        <f t="shared" ca="1" si="3"/>
        <v>58.82352941176471</v>
      </c>
    </row>
    <row r="70" spans="1:5" x14ac:dyDescent="0.3">
      <c r="A70">
        <f t="shared" ca="1" si="2"/>
        <v>0</v>
      </c>
      <c r="C70">
        <f ca="1">COUNTIF(A$2:A70,1)</f>
        <v>40</v>
      </c>
      <c r="D70">
        <f ca="1">COUNTIF(A$2:A70,0)</f>
        <v>29</v>
      </c>
      <c r="E70">
        <f t="shared" ca="1" si="3"/>
        <v>57.971014492753625</v>
      </c>
    </row>
    <row r="71" spans="1:5" x14ac:dyDescent="0.3">
      <c r="A71">
        <f t="shared" ref="A71" ca="1" si="4">ROUND(RAND(),0)</f>
        <v>1</v>
      </c>
      <c r="C71">
        <f ca="1">COUNTIF(A$2:A71,1)</f>
        <v>41</v>
      </c>
      <c r="D71">
        <f ca="1">COUNTIF(A$2:A71,0)</f>
        <v>29</v>
      </c>
      <c r="E71">
        <f t="shared" ca="1" si="3"/>
        <v>58.571428571428577</v>
      </c>
    </row>
    <row r="72" spans="1:5" x14ac:dyDescent="0.3">
      <c r="A72">
        <f t="shared" ca="1" si="2"/>
        <v>0</v>
      </c>
      <c r="C72">
        <f ca="1">COUNTIF(A$2:A72,1)</f>
        <v>41</v>
      </c>
      <c r="D72">
        <f ca="1">COUNTIF(A$2:A72,0)</f>
        <v>30</v>
      </c>
      <c r="E72">
        <f t="shared" ca="1" si="3"/>
        <v>57.74647887323944</v>
      </c>
    </row>
    <row r="73" spans="1:5" x14ac:dyDescent="0.3">
      <c r="A73">
        <f t="shared" ca="1" si="2"/>
        <v>1</v>
      </c>
      <c r="C73">
        <f ca="1">COUNTIF(A$2:A73,1)</f>
        <v>42</v>
      </c>
      <c r="D73">
        <f ca="1">COUNTIF(A$2:A73,0)</f>
        <v>30</v>
      </c>
      <c r="E73">
        <f t="shared" ca="1" si="3"/>
        <v>58.333333333333336</v>
      </c>
    </row>
    <row r="74" spans="1:5" x14ac:dyDescent="0.3">
      <c r="A74">
        <f t="shared" ref="A74:A101" ca="1" si="5">ROUND(RAND(),0)</f>
        <v>0</v>
      </c>
      <c r="C74">
        <f ca="1">COUNTIF(A$2:A74,1)</f>
        <v>42</v>
      </c>
      <c r="D74">
        <f ca="1">COUNTIF(A$2:A74,0)</f>
        <v>31</v>
      </c>
      <c r="E74">
        <f t="shared" ca="1" si="3"/>
        <v>57.534246575342465</v>
      </c>
    </row>
    <row r="75" spans="1:5" x14ac:dyDescent="0.3">
      <c r="A75">
        <f t="shared" ca="1" si="5"/>
        <v>0</v>
      </c>
      <c r="C75">
        <f ca="1">COUNTIF(A$2:A75,1)</f>
        <v>42</v>
      </c>
      <c r="D75">
        <f ca="1">COUNTIF(A$2:A75,0)</f>
        <v>32</v>
      </c>
      <c r="E75">
        <f t="shared" ca="1" si="3"/>
        <v>56.756756756756758</v>
      </c>
    </row>
    <row r="76" spans="1:5" x14ac:dyDescent="0.3">
      <c r="A76">
        <f t="shared" ca="1" si="5"/>
        <v>0</v>
      </c>
      <c r="C76">
        <f ca="1">COUNTIF(A$2:A76,1)</f>
        <v>42</v>
      </c>
      <c r="D76">
        <f ca="1">COUNTIF(A$2:A76,0)</f>
        <v>33</v>
      </c>
      <c r="E76">
        <f t="shared" ca="1" si="3"/>
        <v>56.000000000000007</v>
      </c>
    </row>
    <row r="77" spans="1:5" x14ac:dyDescent="0.3">
      <c r="A77">
        <f t="shared" ca="1" si="5"/>
        <v>0</v>
      </c>
      <c r="C77">
        <f ca="1">COUNTIF(A$2:A77,1)</f>
        <v>42</v>
      </c>
      <c r="D77">
        <f ca="1">COUNTIF(A$2:A77,0)</f>
        <v>34</v>
      </c>
      <c r="E77">
        <f t="shared" ca="1" si="3"/>
        <v>55.26315789473685</v>
      </c>
    </row>
    <row r="78" spans="1:5" x14ac:dyDescent="0.3">
      <c r="A78">
        <f t="shared" ca="1" si="5"/>
        <v>0</v>
      </c>
      <c r="C78">
        <f ca="1">COUNTIF(A$2:A78,1)</f>
        <v>42</v>
      </c>
      <c r="D78">
        <f ca="1">COUNTIF(A$2:A78,0)</f>
        <v>35</v>
      </c>
      <c r="E78">
        <f t="shared" ca="1" si="3"/>
        <v>54.54545454545454</v>
      </c>
    </row>
    <row r="79" spans="1:5" x14ac:dyDescent="0.3">
      <c r="A79">
        <f t="shared" ca="1" si="5"/>
        <v>1</v>
      </c>
      <c r="C79">
        <f ca="1">COUNTIF(A$2:A79,1)</f>
        <v>43</v>
      </c>
      <c r="D79">
        <f ca="1">COUNTIF(A$2:A79,0)</f>
        <v>35</v>
      </c>
      <c r="E79">
        <f t="shared" ca="1" si="3"/>
        <v>55.128205128205131</v>
      </c>
    </row>
    <row r="80" spans="1:5" x14ac:dyDescent="0.3">
      <c r="A80">
        <f t="shared" ca="1" si="5"/>
        <v>1</v>
      </c>
      <c r="C80">
        <f ca="1">COUNTIF(A$2:A80,1)</f>
        <v>44</v>
      </c>
      <c r="D80">
        <f ca="1">COUNTIF(A$2:A80,0)</f>
        <v>35</v>
      </c>
      <c r="E80">
        <f t="shared" ca="1" si="3"/>
        <v>55.696202531645568</v>
      </c>
    </row>
    <row r="81" spans="1:5" x14ac:dyDescent="0.3">
      <c r="A81">
        <f t="shared" ca="1" si="5"/>
        <v>0</v>
      </c>
      <c r="C81">
        <f ca="1">COUNTIF(A$2:A81,1)</f>
        <v>44</v>
      </c>
      <c r="D81">
        <f ca="1">COUNTIF(A$2:A81,0)</f>
        <v>36</v>
      </c>
      <c r="E81">
        <f t="shared" ca="1" si="3"/>
        <v>55.000000000000007</v>
      </c>
    </row>
    <row r="82" spans="1:5" x14ac:dyDescent="0.3">
      <c r="A82">
        <f t="shared" ca="1" si="5"/>
        <v>1</v>
      </c>
      <c r="C82">
        <f ca="1">COUNTIF(A$2:A82,1)</f>
        <v>45</v>
      </c>
      <c r="D82">
        <f ca="1">COUNTIF(A$2:A82,0)</f>
        <v>36</v>
      </c>
      <c r="E82">
        <f t="shared" ca="1" si="3"/>
        <v>55.555555555555557</v>
      </c>
    </row>
    <row r="83" spans="1:5" x14ac:dyDescent="0.3">
      <c r="A83">
        <f t="shared" ca="1" si="5"/>
        <v>1</v>
      </c>
      <c r="C83">
        <f ca="1">COUNTIF(A$2:A83,1)</f>
        <v>46</v>
      </c>
      <c r="D83">
        <f ca="1">COUNTIF(A$2:A83,0)</f>
        <v>36</v>
      </c>
      <c r="E83">
        <f t="shared" ca="1" si="3"/>
        <v>56.09756097560976</v>
      </c>
    </row>
    <row r="84" spans="1:5" x14ac:dyDescent="0.3">
      <c r="A84">
        <f t="shared" ca="1" si="5"/>
        <v>0</v>
      </c>
      <c r="C84">
        <f ca="1">COUNTIF(A$2:A84,1)</f>
        <v>46</v>
      </c>
      <c r="D84">
        <f ca="1">COUNTIF(A$2:A84,0)</f>
        <v>37</v>
      </c>
      <c r="E84">
        <f t="shared" ca="1" si="3"/>
        <v>55.421686746987952</v>
      </c>
    </row>
    <row r="85" spans="1:5" x14ac:dyDescent="0.3">
      <c r="A85">
        <f t="shared" ca="1" si="5"/>
        <v>0</v>
      </c>
      <c r="C85">
        <f ca="1">COUNTIF(A$2:A85,1)</f>
        <v>46</v>
      </c>
      <c r="D85">
        <f ca="1">COUNTIF(A$2:A85,0)</f>
        <v>38</v>
      </c>
      <c r="E85">
        <f t="shared" ca="1" si="3"/>
        <v>54.761904761904766</v>
      </c>
    </row>
    <row r="86" spans="1:5" x14ac:dyDescent="0.3">
      <c r="A86">
        <f t="shared" ca="1" si="5"/>
        <v>1</v>
      </c>
      <c r="C86">
        <f ca="1">COUNTIF(A$2:A86,1)</f>
        <v>47</v>
      </c>
      <c r="D86">
        <f ca="1">COUNTIF(A$2:A86,0)</f>
        <v>38</v>
      </c>
      <c r="E86">
        <f t="shared" ca="1" si="3"/>
        <v>55.294117647058826</v>
      </c>
    </row>
    <row r="87" spans="1:5" x14ac:dyDescent="0.3">
      <c r="A87">
        <f t="shared" ca="1" si="5"/>
        <v>1</v>
      </c>
      <c r="C87">
        <f ca="1">COUNTIF(A$2:A87,1)</f>
        <v>48</v>
      </c>
      <c r="D87">
        <f ca="1">COUNTIF(A$2:A87,0)</f>
        <v>38</v>
      </c>
      <c r="E87">
        <f t="shared" ca="1" si="3"/>
        <v>55.813953488372093</v>
      </c>
    </row>
    <row r="88" spans="1:5" x14ac:dyDescent="0.3">
      <c r="A88">
        <f t="shared" ca="1" si="5"/>
        <v>0</v>
      </c>
      <c r="C88">
        <f ca="1">COUNTIF(A$2:A88,1)</f>
        <v>48</v>
      </c>
      <c r="D88">
        <f ca="1">COUNTIF(A$2:A88,0)</f>
        <v>39</v>
      </c>
      <c r="E88">
        <f t="shared" ca="1" si="3"/>
        <v>55.172413793103445</v>
      </c>
    </row>
    <row r="89" spans="1:5" x14ac:dyDescent="0.3">
      <c r="A89">
        <f t="shared" ca="1" si="5"/>
        <v>0</v>
      </c>
      <c r="C89">
        <f ca="1">COUNTIF(A$2:A89,1)</f>
        <v>48</v>
      </c>
      <c r="D89">
        <f ca="1">COUNTIF(A$2:A89,0)</f>
        <v>40</v>
      </c>
      <c r="E89">
        <f t="shared" ca="1" si="3"/>
        <v>54.54545454545454</v>
      </c>
    </row>
    <row r="90" spans="1:5" x14ac:dyDescent="0.3">
      <c r="A90">
        <f t="shared" ca="1" si="5"/>
        <v>0</v>
      </c>
      <c r="C90">
        <f ca="1">COUNTIF(A$2:A90,1)</f>
        <v>48</v>
      </c>
      <c r="D90">
        <f ca="1">COUNTIF(A$2:A90,0)</f>
        <v>41</v>
      </c>
      <c r="E90">
        <f t="shared" ca="1" si="3"/>
        <v>53.932584269662918</v>
      </c>
    </row>
    <row r="91" spans="1:5" x14ac:dyDescent="0.3">
      <c r="A91">
        <f t="shared" ca="1" si="5"/>
        <v>0</v>
      </c>
      <c r="C91">
        <f ca="1">COUNTIF(A$2:A91,1)</f>
        <v>48</v>
      </c>
      <c r="D91">
        <f ca="1">COUNTIF(A$2:A91,0)</f>
        <v>42</v>
      </c>
      <c r="E91">
        <f t="shared" ca="1" si="3"/>
        <v>53.333333333333336</v>
      </c>
    </row>
    <row r="92" spans="1:5" x14ac:dyDescent="0.3">
      <c r="A92">
        <f t="shared" ca="1" si="5"/>
        <v>1</v>
      </c>
      <c r="C92">
        <f ca="1">COUNTIF(A$2:A92,1)</f>
        <v>49</v>
      </c>
      <c r="D92">
        <f ca="1">COUNTIF(A$2:A92,0)</f>
        <v>42</v>
      </c>
      <c r="E92">
        <f t="shared" ca="1" si="3"/>
        <v>53.846153846153847</v>
      </c>
    </row>
    <row r="93" spans="1:5" x14ac:dyDescent="0.3">
      <c r="A93">
        <f t="shared" ca="1" si="5"/>
        <v>0</v>
      </c>
      <c r="C93">
        <f ca="1">COUNTIF(A$2:A93,1)</f>
        <v>49</v>
      </c>
      <c r="D93">
        <f ca="1">COUNTIF(A$2:A93,0)</f>
        <v>43</v>
      </c>
      <c r="E93">
        <f t="shared" ca="1" si="3"/>
        <v>53.260869565217398</v>
      </c>
    </row>
    <row r="94" spans="1:5" x14ac:dyDescent="0.3">
      <c r="A94">
        <f t="shared" ca="1" si="5"/>
        <v>0</v>
      </c>
      <c r="C94">
        <f ca="1">COUNTIF(A$2:A94,1)</f>
        <v>49</v>
      </c>
      <c r="D94">
        <f ca="1">COUNTIF(A$2:A94,0)</f>
        <v>44</v>
      </c>
      <c r="E94">
        <f t="shared" ca="1" si="3"/>
        <v>52.688172043010752</v>
      </c>
    </row>
    <row r="95" spans="1:5" x14ac:dyDescent="0.3">
      <c r="A95">
        <f t="shared" ca="1" si="5"/>
        <v>0</v>
      </c>
      <c r="C95">
        <f ca="1">COUNTIF(A$2:A95,1)</f>
        <v>49</v>
      </c>
      <c r="D95">
        <f ca="1">COUNTIF(A$2:A95,0)</f>
        <v>45</v>
      </c>
      <c r="E95">
        <f t="shared" ca="1" si="3"/>
        <v>52.12765957446809</v>
      </c>
    </row>
    <row r="96" spans="1:5" x14ac:dyDescent="0.3">
      <c r="A96">
        <f t="shared" ca="1" si="5"/>
        <v>0</v>
      </c>
      <c r="C96">
        <f ca="1">COUNTIF(A$2:A96,1)</f>
        <v>49</v>
      </c>
      <c r="D96">
        <f ca="1">COUNTIF(A$2:A96,0)</f>
        <v>46</v>
      </c>
      <c r="E96">
        <f t="shared" ca="1" si="3"/>
        <v>51.578947368421055</v>
      </c>
    </row>
    <row r="97" spans="1:5" x14ac:dyDescent="0.3">
      <c r="A97">
        <f t="shared" ca="1" si="5"/>
        <v>0</v>
      </c>
      <c r="C97">
        <f ca="1">COUNTIF(A$2:A97,1)</f>
        <v>49</v>
      </c>
      <c r="D97">
        <f ca="1">COUNTIF(A$2:A97,0)</f>
        <v>47</v>
      </c>
      <c r="E97">
        <f t="shared" ca="1" si="3"/>
        <v>51.041666666666664</v>
      </c>
    </row>
    <row r="98" spans="1:5" x14ac:dyDescent="0.3">
      <c r="A98">
        <f t="shared" ca="1" si="5"/>
        <v>1</v>
      </c>
      <c r="C98">
        <f ca="1">COUNTIF(A$2:A98,1)</f>
        <v>50</v>
      </c>
      <c r="D98">
        <f ca="1">COUNTIF(A$2:A98,0)</f>
        <v>47</v>
      </c>
      <c r="E98">
        <f t="shared" ca="1" si="3"/>
        <v>51.546391752577314</v>
      </c>
    </row>
    <row r="99" spans="1:5" x14ac:dyDescent="0.3">
      <c r="A99">
        <f t="shared" ca="1" si="5"/>
        <v>0</v>
      </c>
      <c r="C99">
        <f ca="1">COUNTIF(A$2:A99,1)</f>
        <v>50</v>
      </c>
      <c r="D99">
        <f ca="1">COUNTIF(A$2:A99,0)</f>
        <v>48</v>
      </c>
      <c r="E99">
        <f t="shared" ca="1" si="3"/>
        <v>51.020408163265309</v>
      </c>
    </row>
    <row r="100" spans="1:5" x14ac:dyDescent="0.3">
      <c r="A100">
        <f t="shared" ca="1" si="5"/>
        <v>0</v>
      </c>
      <c r="C100">
        <f ca="1">COUNTIF(A$2:A100,1)</f>
        <v>50</v>
      </c>
      <c r="D100">
        <f ca="1">COUNTIF(A$2:A100,0)</f>
        <v>49</v>
      </c>
      <c r="E100">
        <f t="shared" ca="1" si="3"/>
        <v>50.505050505050505</v>
      </c>
    </row>
    <row r="101" spans="1:5" x14ac:dyDescent="0.3">
      <c r="A101">
        <f t="shared" ca="1" si="5"/>
        <v>1</v>
      </c>
      <c r="C101">
        <f ca="1">COUNTIF(A$2:A101,1)</f>
        <v>51</v>
      </c>
      <c r="D101">
        <f ca="1">COUNTIF(A$2:A101,0)</f>
        <v>49</v>
      </c>
      <c r="E101">
        <f t="shared" ca="1" si="3"/>
        <v>51</v>
      </c>
    </row>
    <row r="102" spans="1:5" x14ac:dyDescent="0.3">
      <c r="A102">
        <f ca="1">ROUND(RAND(),0)</f>
        <v>1</v>
      </c>
      <c r="C102">
        <f ca="1">COUNTIF(A$2:A102,1)</f>
        <v>52</v>
      </c>
      <c r="D102">
        <f ca="1">COUNTIF(A$2:A102,0)</f>
        <v>49</v>
      </c>
      <c r="E102">
        <f t="shared" ca="1" si="3"/>
        <v>51.485148514851488</v>
      </c>
    </row>
    <row r="103" spans="1:5" x14ac:dyDescent="0.3">
      <c r="A103">
        <f ca="1">ROUND(RAND(),0)</f>
        <v>1</v>
      </c>
      <c r="C103">
        <f ca="1">COUNTIF(A$2:A103,1)</f>
        <v>53</v>
      </c>
      <c r="D103">
        <f ca="1">COUNTIF(A$2:A103,0)</f>
        <v>49</v>
      </c>
      <c r="E103">
        <f t="shared" ca="1" si="3"/>
        <v>51.960784313725497</v>
      </c>
    </row>
    <row r="104" spans="1:5" x14ac:dyDescent="0.3">
      <c r="A104">
        <f ca="1">ROUND(RAND(),0)</f>
        <v>0</v>
      </c>
      <c r="C104">
        <f ca="1">COUNTIF(A$2:A104,1)</f>
        <v>53</v>
      </c>
      <c r="D104">
        <f ca="1">COUNTIF(A$2:A104,0)</f>
        <v>50</v>
      </c>
      <c r="E104">
        <f t="shared" ca="1" si="3"/>
        <v>51.456310679611647</v>
      </c>
    </row>
    <row r="105" spans="1:5" x14ac:dyDescent="0.3">
      <c r="A105">
        <f ca="1">ROUND(RAND(),0)</f>
        <v>0</v>
      </c>
      <c r="C105">
        <f ca="1">COUNTIF(A$2:A105,1)</f>
        <v>53</v>
      </c>
      <c r="D105">
        <f ca="1">COUNTIF(A$2:A105,0)</f>
        <v>51</v>
      </c>
      <c r="E105">
        <f t="shared" ca="1" si="3"/>
        <v>50.96153846153846</v>
      </c>
    </row>
    <row r="106" spans="1:5" x14ac:dyDescent="0.3">
      <c r="A106">
        <f ca="1">ROUND(RAND(),0)</f>
        <v>0</v>
      </c>
      <c r="C106">
        <f ca="1">COUNTIF(A$2:A106,1)</f>
        <v>53</v>
      </c>
      <c r="D106">
        <f ca="1">COUNTIF(A$2:A106,0)</f>
        <v>52</v>
      </c>
      <c r="E106">
        <f t="shared" ca="1" si="3"/>
        <v>50.476190476190474</v>
      </c>
    </row>
    <row r="107" spans="1:5" x14ac:dyDescent="0.3">
      <c r="A107">
        <f t="shared" ref="A107:A173" ca="1" si="6">ROUND(RAND(),0)</f>
        <v>1</v>
      </c>
      <c r="C107">
        <f ca="1">COUNTIF(A$2:A107,1)</f>
        <v>54</v>
      </c>
      <c r="D107">
        <f ca="1">COUNTIF(A$2:A107,0)</f>
        <v>52</v>
      </c>
      <c r="E107">
        <f t="shared" ca="1" si="3"/>
        <v>50.943396226415096</v>
      </c>
    </row>
    <row r="108" spans="1:5" x14ac:dyDescent="0.3">
      <c r="A108">
        <f t="shared" ca="1" si="6"/>
        <v>1</v>
      </c>
      <c r="C108">
        <f ca="1">COUNTIF(A$2:A108,1)</f>
        <v>55</v>
      </c>
      <c r="D108">
        <f ca="1">COUNTIF(A$2:A108,0)</f>
        <v>52</v>
      </c>
      <c r="E108">
        <f t="shared" ca="1" si="3"/>
        <v>51.401869158878498</v>
      </c>
    </row>
    <row r="109" spans="1:5" x14ac:dyDescent="0.3">
      <c r="A109">
        <f t="shared" ca="1" si="6"/>
        <v>0</v>
      </c>
      <c r="C109">
        <f ca="1">COUNTIF(A$2:A109,1)</f>
        <v>55</v>
      </c>
      <c r="D109">
        <f ca="1">COUNTIF(A$2:A109,0)</f>
        <v>53</v>
      </c>
      <c r="E109">
        <f t="shared" ca="1" si="3"/>
        <v>50.925925925925931</v>
      </c>
    </row>
    <row r="110" spans="1:5" x14ac:dyDescent="0.3">
      <c r="A110">
        <f t="shared" ca="1" si="6"/>
        <v>1</v>
      </c>
      <c r="C110">
        <f ca="1">COUNTIF(A$2:A110,1)</f>
        <v>56</v>
      </c>
      <c r="D110">
        <f ca="1">COUNTIF(A$2:A110,0)</f>
        <v>53</v>
      </c>
      <c r="E110">
        <f t="shared" ca="1" si="3"/>
        <v>51.37614678899083</v>
      </c>
    </row>
    <row r="111" spans="1:5" x14ac:dyDescent="0.3">
      <c r="A111">
        <f t="shared" ca="1" si="6"/>
        <v>0</v>
      </c>
      <c r="C111">
        <f ca="1">COUNTIF(A$2:A111,1)</f>
        <v>56</v>
      </c>
      <c r="D111">
        <f ca="1">COUNTIF(A$2:A111,0)</f>
        <v>54</v>
      </c>
      <c r="E111">
        <f t="shared" ca="1" si="3"/>
        <v>50.909090909090907</v>
      </c>
    </row>
    <row r="112" spans="1:5" x14ac:dyDescent="0.3">
      <c r="A112">
        <f t="shared" ca="1" si="6"/>
        <v>0</v>
      </c>
      <c r="C112">
        <f ca="1">COUNTIF(A$2:A112,1)</f>
        <v>56</v>
      </c>
      <c r="D112">
        <f ca="1">COUNTIF(A$2:A112,0)</f>
        <v>55</v>
      </c>
      <c r="E112">
        <f t="shared" ca="1" si="3"/>
        <v>50.450450450450447</v>
      </c>
    </row>
    <row r="113" spans="1:5" x14ac:dyDescent="0.3">
      <c r="A113">
        <f t="shared" ca="1" si="6"/>
        <v>0</v>
      </c>
      <c r="C113">
        <f ca="1">COUNTIF(A$2:A113,1)</f>
        <v>56</v>
      </c>
      <c r="D113">
        <f ca="1">COUNTIF(A$2:A113,0)</f>
        <v>56</v>
      </c>
      <c r="E113">
        <f t="shared" ca="1" si="3"/>
        <v>50</v>
      </c>
    </row>
    <row r="114" spans="1:5" x14ac:dyDescent="0.3">
      <c r="A114">
        <f t="shared" ca="1" si="6"/>
        <v>1</v>
      </c>
      <c r="C114">
        <f ca="1">COUNTIF(A$2:A114,1)</f>
        <v>57</v>
      </c>
      <c r="D114">
        <f ca="1">COUNTIF(A$2:A114,0)</f>
        <v>56</v>
      </c>
      <c r="E114">
        <f t="shared" ca="1" si="3"/>
        <v>50.442477876106196</v>
      </c>
    </row>
    <row r="115" spans="1:5" x14ac:dyDescent="0.3">
      <c r="A115">
        <f t="shared" ca="1" si="6"/>
        <v>0</v>
      </c>
      <c r="C115">
        <f ca="1">COUNTIF(A$2:A115,1)</f>
        <v>57</v>
      </c>
      <c r="D115">
        <f ca="1">COUNTIF(A$2:A115,0)</f>
        <v>57</v>
      </c>
      <c r="E115">
        <f t="shared" ca="1" si="3"/>
        <v>50</v>
      </c>
    </row>
    <row r="116" spans="1:5" x14ac:dyDescent="0.3">
      <c r="A116">
        <f t="shared" ca="1" si="6"/>
        <v>0</v>
      </c>
      <c r="C116">
        <f ca="1">COUNTIF(A$2:A116,1)</f>
        <v>57</v>
      </c>
      <c r="D116">
        <f ca="1">COUNTIF(A$2:A116,0)</f>
        <v>58</v>
      </c>
      <c r="E116">
        <f t="shared" ca="1" si="3"/>
        <v>49.565217391304351</v>
      </c>
    </row>
    <row r="117" spans="1:5" x14ac:dyDescent="0.3">
      <c r="A117">
        <f t="shared" ca="1" si="6"/>
        <v>0</v>
      </c>
      <c r="C117">
        <f ca="1">COUNTIF(A$2:A117,1)</f>
        <v>57</v>
      </c>
      <c r="D117">
        <f ca="1">COUNTIF(A$2:A117,0)</f>
        <v>59</v>
      </c>
      <c r="E117">
        <f t="shared" ca="1" si="3"/>
        <v>49.137931034482754</v>
      </c>
    </row>
    <row r="118" spans="1:5" x14ac:dyDescent="0.3">
      <c r="A118">
        <f t="shared" ca="1" si="6"/>
        <v>0</v>
      </c>
      <c r="C118">
        <f ca="1">COUNTIF(A$2:A118,1)</f>
        <v>57</v>
      </c>
      <c r="D118">
        <f ca="1">COUNTIF(A$2:A118,0)</f>
        <v>60</v>
      </c>
      <c r="E118">
        <f t="shared" ca="1" si="3"/>
        <v>48.717948717948715</v>
      </c>
    </row>
    <row r="119" spans="1:5" x14ac:dyDescent="0.3">
      <c r="A119">
        <f t="shared" ca="1" si="6"/>
        <v>0</v>
      </c>
      <c r="C119">
        <f ca="1">COUNTIF(A$2:A119,1)</f>
        <v>57</v>
      </c>
      <c r="D119">
        <f ca="1">COUNTIF(A$2:A119,0)</f>
        <v>61</v>
      </c>
      <c r="E119">
        <f t="shared" ca="1" si="3"/>
        <v>48.305084745762713</v>
      </c>
    </row>
    <row r="120" spans="1:5" x14ac:dyDescent="0.3">
      <c r="A120">
        <f t="shared" ca="1" si="6"/>
        <v>1</v>
      </c>
      <c r="C120">
        <f ca="1">COUNTIF(A$2:A120,1)</f>
        <v>58</v>
      </c>
      <c r="D120">
        <f ca="1">COUNTIF(A$2:A120,0)</f>
        <v>61</v>
      </c>
      <c r="E120">
        <f t="shared" ca="1" si="3"/>
        <v>48.739495798319325</v>
      </c>
    </row>
    <row r="121" spans="1:5" x14ac:dyDescent="0.3">
      <c r="A121">
        <f t="shared" ca="1" si="6"/>
        <v>0</v>
      </c>
      <c r="C121">
        <f ca="1">COUNTIF(A$2:A121,1)</f>
        <v>58</v>
      </c>
      <c r="D121">
        <f ca="1">COUNTIF(A$2:A121,0)</f>
        <v>62</v>
      </c>
      <c r="E121">
        <f t="shared" ca="1" si="3"/>
        <v>48.333333333333336</v>
      </c>
    </row>
    <row r="122" spans="1:5" x14ac:dyDescent="0.3">
      <c r="A122">
        <f t="shared" ca="1" si="6"/>
        <v>1</v>
      </c>
      <c r="C122">
        <f ca="1">COUNTIF(A$2:A122,1)</f>
        <v>59</v>
      </c>
      <c r="D122">
        <f ca="1">COUNTIF(A$2:A122,0)</f>
        <v>62</v>
      </c>
      <c r="E122">
        <f t="shared" ca="1" si="3"/>
        <v>48.760330578512395</v>
      </c>
    </row>
    <row r="123" spans="1:5" x14ac:dyDescent="0.3">
      <c r="A123">
        <f t="shared" ca="1" si="6"/>
        <v>0</v>
      </c>
      <c r="C123">
        <f ca="1">COUNTIF(A$2:A123,1)</f>
        <v>59</v>
      </c>
      <c r="D123">
        <f ca="1">COUNTIF(A$2:A123,0)</f>
        <v>63</v>
      </c>
      <c r="E123">
        <f t="shared" ca="1" si="3"/>
        <v>48.360655737704917</v>
      </c>
    </row>
    <row r="124" spans="1:5" x14ac:dyDescent="0.3">
      <c r="A124">
        <f t="shared" ca="1" si="6"/>
        <v>1</v>
      </c>
      <c r="C124">
        <f ca="1">COUNTIF(A$2:A124,1)</f>
        <v>60</v>
      </c>
      <c r="D124">
        <f ca="1">COUNTIF(A$2:A124,0)</f>
        <v>63</v>
      </c>
      <c r="E124">
        <f t="shared" ca="1" si="3"/>
        <v>48.780487804878049</v>
      </c>
    </row>
    <row r="125" spans="1:5" x14ac:dyDescent="0.3">
      <c r="A125">
        <f t="shared" ca="1" si="6"/>
        <v>1</v>
      </c>
      <c r="C125">
        <f ca="1">COUNTIF(A$2:A125,1)</f>
        <v>61</v>
      </c>
      <c r="D125">
        <f ca="1">COUNTIF(A$2:A125,0)</f>
        <v>63</v>
      </c>
      <c r="E125">
        <f t="shared" ca="1" si="3"/>
        <v>49.193548387096776</v>
      </c>
    </row>
    <row r="126" spans="1:5" x14ac:dyDescent="0.3">
      <c r="A126">
        <f t="shared" ca="1" si="6"/>
        <v>1</v>
      </c>
      <c r="C126">
        <f ca="1">COUNTIF(A$2:A126,1)</f>
        <v>62</v>
      </c>
      <c r="D126">
        <f ca="1">COUNTIF(A$2:A126,0)</f>
        <v>63</v>
      </c>
      <c r="E126">
        <f t="shared" ca="1" si="3"/>
        <v>49.6</v>
      </c>
    </row>
    <row r="127" spans="1:5" x14ac:dyDescent="0.3">
      <c r="A127">
        <f t="shared" ca="1" si="6"/>
        <v>1</v>
      </c>
      <c r="C127">
        <f ca="1">COUNTIF(A$2:A127,1)</f>
        <v>63</v>
      </c>
      <c r="D127">
        <f ca="1">COUNTIF(A$2:A127,0)</f>
        <v>63</v>
      </c>
      <c r="E127">
        <f t="shared" ca="1" si="3"/>
        <v>50</v>
      </c>
    </row>
    <row r="128" spans="1:5" x14ac:dyDescent="0.3">
      <c r="A128">
        <f t="shared" ca="1" si="6"/>
        <v>1</v>
      </c>
      <c r="C128">
        <f ca="1">COUNTIF(A$2:A128,1)</f>
        <v>64</v>
      </c>
      <c r="D128">
        <f ca="1">COUNTIF(A$2:A128,0)</f>
        <v>63</v>
      </c>
      <c r="E128">
        <f t="shared" ca="1" si="3"/>
        <v>50.393700787401571</v>
      </c>
    </row>
    <row r="129" spans="1:5" x14ac:dyDescent="0.3">
      <c r="A129">
        <f t="shared" ca="1" si="6"/>
        <v>1</v>
      </c>
      <c r="C129">
        <f ca="1">COUNTIF(A$2:A129,1)</f>
        <v>65</v>
      </c>
      <c r="D129">
        <f ca="1">COUNTIF(A$2:A129,0)</f>
        <v>63</v>
      </c>
      <c r="E129">
        <f t="shared" ca="1" si="3"/>
        <v>50.78125</v>
      </c>
    </row>
    <row r="130" spans="1:5" x14ac:dyDescent="0.3">
      <c r="A130">
        <f t="shared" ca="1" si="6"/>
        <v>1</v>
      </c>
      <c r="C130">
        <f ca="1">COUNTIF(A$2:A130,1)</f>
        <v>66</v>
      </c>
      <c r="D130">
        <f ca="1">COUNTIF(A$2:A130,0)</f>
        <v>63</v>
      </c>
      <c r="E130">
        <f t="shared" ca="1" si="3"/>
        <v>51.162790697674424</v>
      </c>
    </row>
    <row r="131" spans="1:5" x14ac:dyDescent="0.3">
      <c r="A131">
        <f t="shared" ca="1" si="6"/>
        <v>1</v>
      </c>
      <c r="C131">
        <f ca="1">COUNTIF(A$2:A131,1)</f>
        <v>67</v>
      </c>
      <c r="D131">
        <f ca="1">COUNTIF(A$2:A131,0)</f>
        <v>63</v>
      </c>
      <c r="E131">
        <f t="shared" ref="E131:E194" ca="1" si="7">C131/(C131+D131)*100</f>
        <v>51.538461538461533</v>
      </c>
    </row>
    <row r="132" spans="1:5" x14ac:dyDescent="0.3">
      <c r="A132">
        <f t="shared" ca="1" si="6"/>
        <v>0</v>
      </c>
      <c r="C132">
        <f ca="1">COUNTIF(A$2:A132,1)</f>
        <v>67</v>
      </c>
      <c r="D132">
        <f ca="1">COUNTIF(A$2:A132,0)</f>
        <v>64</v>
      </c>
      <c r="E132">
        <f t="shared" ca="1" si="7"/>
        <v>51.145038167938928</v>
      </c>
    </row>
    <row r="133" spans="1:5" x14ac:dyDescent="0.3">
      <c r="A133">
        <f t="shared" ca="1" si="6"/>
        <v>1</v>
      </c>
      <c r="C133">
        <f ca="1">COUNTIF(A$2:A133,1)</f>
        <v>68</v>
      </c>
      <c r="D133">
        <f ca="1">COUNTIF(A$2:A133,0)</f>
        <v>64</v>
      </c>
      <c r="E133">
        <f t="shared" ca="1" si="7"/>
        <v>51.515151515151516</v>
      </c>
    </row>
    <row r="134" spans="1:5" x14ac:dyDescent="0.3">
      <c r="A134">
        <f t="shared" ca="1" si="6"/>
        <v>0</v>
      </c>
      <c r="C134">
        <f ca="1">COUNTIF(A$2:A134,1)</f>
        <v>68</v>
      </c>
      <c r="D134">
        <f ca="1">COUNTIF(A$2:A134,0)</f>
        <v>65</v>
      </c>
      <c r="E134">
        <f t="shared" ca="1" si="7"/>
        <v>51.127819548872175</v>
      </c>
    </row>
    <row r="135" spans="1:5" x14ac:dyDescent="0.3">
      <c r="A135">
        <f t="shared" ca="1" si="6"/>
        <v>1</v>
      </c>
      <c r="C135">
        <f ca="1">COUNTIF(A$2:A135,1)</f>
        <v>69</v>
      </c>
      <c r="D135">
        <f ca="1">COUNTIF(A$2:A135,0)</f>
        <v>65</v>
      </c>
      <c r="E135">
        <f t="shared" ca="1" si="7"/>
        <v>51.492537313432841</v>
      </c>
    </row>
    <row r="136" spans="1:5" x14ac:dyDescent="0.3">
      <c r="A136">
        <f t="shared" ca="1" si="6"/>
        <v>0</v>
      </c>
      <c r="C136">
        <f ca="1">COUNTIF(A$2:A136,1)</f>
        <v>69</v>
      </c>
      <c r="D136">
        <f ca="1">COUNTIF(A$2:A136,0)</f>
        <v>66</v>
      </c>
      <c r="E136">
        <f t="shared" ca="1" si="7"/>
        <v>51.111111111111107</v>
      </c>
    </row>
    <row r="137" spans="1:5" x14ac:dyDescent="0.3">
      <c r="A137">
        <f t="shared" ca="1" si="6"/>
        <v>1</v>
      </c>
      <c r="C137">
        <f ca="1">COUNTIF(A$2:A137,1)</f>
        <v>70</v>
      </c>
      <c r="D137">
        <f ca="1">COUNTIF(A$2:A137,0)</f>
        <v>66</v>
      </c>
      <c r="E137">
        <f t="shared" ca="1" si="7"/>
        <v>51.470588235294116</v>
      </c>
    </row>
    <row r="138" spans="1:5" x14ac:dyDescent="0.3">
      <c r="A138">
        <f t="shared" ca="1" si="6"/>
        <v>1</v>
      </c>
      <c r="C138">
        <f ca="1">COUNTIF(A$2:A138,1)</f>
        <v>71</v>
      </c>
      <c r="D138">
        <f ca="1">COUNTIF(A$2:A138,0)</f>
        <v>66</v>
      </c>
      <c r="E138">
        <f t="shared" ca="1" si="7"/>
        <v>51.824817518248182</v>
      </c>
    </row>
    <row r="139" spans="1:5" x14ac:dyDescent="0.3">
      <c r="A139">
        <f t="shared" ca="1" si="6"/>
        <v>0</v>
      </c>
      <c r="C139">
        <f ca="1">COUNTIF(A$2:A139,1)</f>
        <v>71</v>
      </c>
      <c r="D139">
        <f ca="1">COUNTIF(A$2:A139,0)</f>
        <v>67</v>
      </c>
      <c r="E139">
        <f t="shared" ca="1" si="7"/>
        <v>51.449275362318836</v>
      </c>
    </row>
    <row r="140" spans="1:5" x14ac:dyDescent="0.3">
      <c r="A140">
        <f t="shared" ca="1" si="6"/>
        <v>1</v>
      </c>
      <c r="C140">
        <f ca="1">COUNTIF(A$2:A140,1)</f>
        <v>72</v>
      </c>
      <c r="D140">
        <f ca="1">COUNTIF(A$2:A140,0)</f>
        <v>67</v>
      </c>
      <c r="E140">
        <f t="shared" ca="1" si="7"/>
        <v>51.798561151079134</v>
      </c>
    </row>
    <row r="141" spans="1:5" x14ac:dyDescent="0.3">
      <c r="A141">
        <f t="shared" ca="1" si="6"/>
        <v>0</v>
      </c>
      <c r="C141">
        <f ca="1">COUNTIF(A$2:A141,1)</f>
        <v>72</v>
      </c>
      <c r="D141">
        <f ca="1">COUNTIF(A$2:A141,0)</f>
        <v>68</v>
      </c>
      <c r="E141">
        <f t="shared" ca="1" si="7"/>
        <v>51.428571428571423</v>
      </c>
    </row>
    <row r="142" spans="1:5" x14ac:dyDescent="0.3">
      <c r="A142">
        <f t="shared" ca="1" si="6"/>
        <v>1</v>
      </c>
      <c r="C142">
        <f ca="1">COUNTIF(A$2:A142,1)</f>
        <v>73</v>
      </c>
      <c r="D142">
        <f ca="1">COUNTIF(A$2:A142,0)</f>
        <v>68</v>
      </c>
      <c r="E142">
        <f t="shared" ca="1" si="7"/>
        <v>51.773049645390067</v>
      </c>
    </row>
    <row r="143" spans="1:5" x14ac:dyDescent="0.3">
      <c r="A143">
        <f t="shared" ca="1" si="6"/>
        <v>1</v>
      </c>
      <c r="C143">
        <f ca="1">COUNTIF(A$2:A143,1)</f>
        <v>74</v>
      </c>
      <c r="D143">
        <f ca="1">COUNTIF(A$2:A143,0)</f>
        <v>68</v>
      </c>
      <c r="E143">
        <f t="shared" ca="1" si="7"/>
        <v>52.112676056338024</v>
      </c>
    </row>
    <row r="144" spans="1:5" x14ac:dyDescent="0.3">
      <c r="A144">
        <f t="shared" ca="1" si="6"/>
        <v>0</v>
      </c>
      <c r="C144">
        <f ca="1">COUNTIF(A$2:A144,1)</f>
        <v>74</v>
      </c>
      <c r="D144">
        <f ca="1">COUNTIF(A$2:A144,0)</f>
        <v>69</v>
      </c>
      <c r="E144">
        <f t="shared" ca="1" si="7"/>
        <v>51.748251748251747</v>
      </c>
    </row>
    <row r="145" spans="1:5" x14ac:dyDescent="0.3">
      <c r="A145">
        <f t="shared" ca="1" si="6"/>
        <v>0</v>
      </c>
      <c r="C145">
        <f ca="1">COUNTIF(A$2:A145,1)</f>
        <v>74</v>
      </c>
      <c r="D145">
        <f ca="1">COUNTIF(A$2:A145,0)</f>
        <v>70</v>
      </c>
      <c r="E145">
        <f t="shared" ca="1" si="7"/>
        <v>51.388888888888886</v>
      </c>
    </row>
    <row r="146" spans="1:5" x14ac:dyDescent="0.3">
      <c r="A146">
        <f t="shared" ca="1" si="6"/>
        <v>1</v>
      </c>
      <c r="C146">
        <f ca="1">COUNTIF(A$2:A146,1)</f>
        <v>75</v>
      </c>
      <c r="D146">
        <f ca="1">COUNTIF(A$2:A146,0)</f>
        <v>70</v>
      </c>
      <c r="E146">
        <f t="shared" ca="1" si="7"/>
        <v>51.724137931034484</v>
      </c>
    </row>
    <row r="147" spans="1:5" x14ac:dyDescent="0.3">
      <c r="A147">
        <f t="shared" ca="1" si="6"/>
        <v>1</v>
      </c>
      <c r="C147">
        <f ca="1">COUNTIF(A$2:A147,1)</f>
        <v>76</v>
      </c>
      <c r="D147">
        <f ca="1">COUNTIF(A$2:A147,0)</f>
        <v>70</v>
      </c>
      <c r="E147">
        <f t="shared" ca="1" si="7"/>
        <v>52.054794520547944</v>
      </c>
    </row>
    <row r="148" spans="1:5" x14ac:dyDescent="0.3">
      <c r="A148">
        <f t="shared" ca="1" si="6"/>
        <v>1</v>
      </c>
      <c r="C148">
        <f ca="1">COUNTIF(A$2:A148,1)</f>
        <v>77</v>
      </c>
      <c r="D148">
        <f ca="1">COUNTIF(A$2:A148,0)</f>
        <v>70</v>
      </c>
      <c r="E148">
        <f t="shared" ca="1" si="7"/>
        <v>52.380952380952387</v>
      </c>
    </row>
    <row r="149" spans="1:5" x14ac:dyDescent="0.3">
      <c r="A149">
        <f t="shared" ca="1" si="6"/>
        <v>0</v>
      </c>
      <c r="C149">
        <f ca="1">COUNTIF(A$2:A149,1)</f>
        <v>77</v>
      </c>
      <c r="D149">
        <f ca="1">COUNTIF(A$2:A149,0)</f>
        <v>71</v>
      </c>
      <c r="E149">
        <f t="shared" ca="1" si="7"/>
        <v>52.027027027027032</v>
      </c>
    </row>
    <row r="150" spans="1:5" x14ac:dyDescent="0.3">
      <c r="A150">
        <f t="shared" ca="1" si="6"/>
        <v>1</v>
      </c>
      <c r="C150">
        <f ca="1">COUNTIF(A$2:A150,1)</f>
        <v>78</v>
      </c>
      <c r="D150">
        <f ca="1">COUNTIF(A$2:A150,0)</f>
        <v>71</v>
      </c>
      <c r="E150">
        <f t="shared" ca="1" si="7"/>
        <v>52.348993288590606</v>
      </c>
    </row>
    <row r="151" spans="1:5" x14ac:dyDescent="0.3">
      <c r="A151">
        <f t="shared" ca="1" si="6"/>
        <v>0</v>
      </c>
      <c r="C151">
        <f ca="1">COUNTIF(A$2:A151,1)</f>
        <v>78</v>
      </c>
      <c r="D151">
        <f ca="1">COUNTIF(A$2:A151,0)</f>
        <v>72</v>
      </c>
      <c r="E151">
        <f t="shared" ca="1" si="7"/>
        <v>52</v>
      </c>
    </row>
    <row r="152" spans="1:5" x14ac:dyDescent="0.3">
      <c r="A152">
        <f t="shared" ca="1" si="6"/>
        <v>0</v>
      </c>
      <c r="C152">
        <f ca="1">COUNTIF(A$2:A152,1)</f>
        <v>78</v>
      </c>
      <c r="D152">
        <f ca="1">COUNTIF(A$2:A152,0)</f>
        <v>73</v>
      </c>
      <c r="E152">
        <f t="shared" ca="1" si="7"/>
        <v>51.655629139072843</v>
      </c>
    </row>
    <row r="153" spans="1:5" x14ac:dyDescent="0.3">
      <c r="A153">
        <f t="shared" ca="1" si="6"/>
        <v>0</v>
      </c>
      <c r="C153">
        <f ca="1">COUNTIF(A$2:A153,1)</f>
        <v>78</v>
      </c>
      <c r="D153">
        <f ca="1">COUNTIF(A$2:A153,0)</f>
        <v>74</v>
      </c>
      <c r="E153">
        <f t="shared" ca="1" si="7"/>
        <v>51.315789473684212</v>
      </c>
    </row>
    <row r="154" spans="1:5" x14ac:dyDescent="0.3">
      <c r="A154">
        <f t="shared" ca="1" si="6"/>
        <v>0</v>
      </c>
      <c r="C154">
        <f ca="1">COUNTIF(A$2:A154,1)</f>
        <v>78</v>
      </c>
      <c r="D154">
        <f ca="1">COUNTIF(A$2:A154,0)</f>
        <v>75</v>
      </c>
      <c r="E154">
        <f t="shared" ca="1" si="7"/>
        <v>50.980392156862742</v>
      </c>
    </row>
    <row r="155" spans="1:5" x14ac:dyDescent="0.3">
      <c r="A155">
        <f t="shared" ca="1" si="6"/>
        <v>0</v>
      </c>
      <c r="C155">
        <f ca="1">COUNTIF(A$2:A155,1)</f>
        <v>78</v>
      </c>
      <c r="D155">
        <f ca="1">COUNTIF(A$2:A155,0)</f>
        <v>76</v>
      </c>
      <c r="E155">
        <f t="shared" ca="1" si="7"/>
        <v>50.649350649350644</v>
      </c>
    </row>
    <row r="156" spans="1:5" x14ac:dyDescent="0.3">
      <c r="A156">
        <f t="shared" ca="1" si="6"/>
        <v>0</v>
      </c>
      <c r="C156">
        <f ca="1">COUNTIF(A$2:A156,1)</f>
        <v>78</v>
      </c>
      <c r="D156">
        <f ca="1">COUNTIF(A$2:A156,0)</f>
        <v>77</v>
      </c>
      <c r="E156">
        <f t="shared" ca="1" si="7"/>
        <v>50.322580645161288</v>
      </c>
    </row>
    <row r="157" spans="1:5" x14ac:dyDescent="0.3">
      <c r="A157">
        <f t="shared" ca="1" si="6"/>
        <v>1</v>
      </c>
      <c r="C157">
        <f ca="1">COUNTIF(A$2:A157,1)</f>
        <v>79</v>
      </c>
      <c r="D157">
        <f ca="1">COUNTIF(A$2:A157,0)</f>
        <v>77</v>
      </c>
      <c r="E157">
        <f t="shared" ca="1" si="7"/>
        <v>50.641025641025635</v>
      </c>
    </row>
    <row r="158" spans="1:5" x14ac:dyDescent="0.3">
      <c r="A158">
        <f t="shared" ca="1" si="6"/>
        <v>0</v>
      </c>
      <c r="C158">
        <f ca="1">COUNTIF(A$2:A158,1)</f>
        <v>79</v>
      </c>
      <c r="D158">
        <f ca="1">COUNTIF(A$2:A158,0)</f>
        <v>78</v>
      </c>
      <c r="E158">
        <f t="shared" ca="1" si="7"/>
        <v>50.318471337579616</v>
      </c>
    </row>
    <row r="159" spans="1:5" x14ac:dyDescent="0.3">
      <c r="A159">
        <f t="shared" ca="1" si="6"/>
        <v>0</v>
      </c>
      <c r="C159">
        <f ca="1">COUNTIF(A$2:A159,1)</f>
        <v>79</v>
      </c>
      <c r="D159">
        <f ca="1">COUNTIF(A$2:A159,0)</f>
        <v>79</v>
      </c>
      <c r="E159">
        <f t="shared" ca="1" si="7"/>
        <v>50</v>
      </c>
    </row>
    <row r="160" spans="1:5" x14ac:dyDescent="0.3">
      <c r="A160">
        <f t="shared" ca="1" si="6"/>
        <v>0</v>
      </c>
      <c r="C160">
        <f ca="1">COUNTIF(A$2:A160,1)</f>
        <v>79</v>
      </c>
      <c r="D160">
        <f ca="1">COUNTIF(A$2:A160,0)</f>
        <v>80</v>
      </c>
      <c r="E160">
        <f t="shared" ca="1" si="7"/>
        <v>49.685534591194966</v>
      </c>
    </row>
    <row r="161" spans="1:5" x14ac:dyDescent="0.3">
      <c r="A161">
        <f t="shared" ca="1" si="6"/>
        <v>0</v>
      </c>
      <c r="C161">
        <f ca="1">COUNTIF(A$2:A161,1)</f>
        <v>79</v>
      </c>
      <c r="D161">
        <f ca="1">COUNTIF(A$2:A161,0)</f>
        <v>81</v>
      </c>
      <c r="E161">
        <f t="shared" ca="1" si="7"/>
        <v>49.375</v>
      </c>
    </row>
    <row r="162" spans="1:5" x14ac:dyDescent="0.3">
      <c r="A162">
        <f t="shared" ca="1" si="6"/>
        <v>1</v>
      </c>
      <c r="C162">
        <f ca="1">COUNTIF(A$2:A162,1)</f>
        <v>80</v>
      </c>
      <c r="D162">
        <f ca="1">COUNTIF(A$2:A162,0)</f>
        <v>81</v>
      </c>
      <c r="E162">
        <f t="shared" ca="1" si="7"/>
        <v>49.689440993788821</v>
      </c>
    </row>
    <row r="163" spans="1:5" x14ac:dyDescent="0.3">
      <c r="A163">
        <f t="shared" ca="1" si="6"/>
        <v>0</v>
      </c>
      <c r="C163">
        <f ca="1">COUNTIF(A$2:A163,1)</f>
        <v>80</v>
      </c>
      <c r="D163">
        <f ca="1">COUNTIF(A$2:A163,0)</f>
        <v>82</v>
      </c>
      <c r="E163">
        <f t="shared" ca="1" si="7"/>
        <v>49.382716049382715</v>
      </c>
    </row>
    <row r="164" spans="1:5" x14ac:dyDescent="0.3">
      <c r="A164">
        <f t="shared" ca="1" si="6"/>
        <v>0</v>
      </c>
      <c r="C164">
        <f ca="1">COUNTIF(A$2:A164,1)</f>
        <v>80</v>
      </c>
      <c r="D164">
        <f ca="1">COUNTIF(A$2:A164,0)</f>
        <v>83</v>
      </c>
      <c r="E164">
        <f t="shared" ca="1" si="7"/>
        <v>49.079754601226995</v>
      </c>
    </row>
    <row r="165" spans="1:5" x14ac:dyDescent="0.3">
      <c r="A165">
        <f t="shared" ca="1" si="6"/>
        <v>1</v>
      </c>
      <c r="C165">
        <f ca="1">COUNTIF(A$2:A165,1)</f>
        <v>81</v>
      </c>
      <c r="D165">
        <f ca="1">COUNTIF(A$2:A165,0)</f>
        <v>83</v>
      </c>
      <c r="E165">
        <f t="shared" ca="1" si="7"/>
        <v>49.390243902439025</v>
      </c>
    </row>
    <row r="166" spans="1:5" x14ac:dyDescent="0.3">
      <c r="A166">
        <f t="shared" ca="1" si="6"/>
        <v>1</v>
      </c>
      <c r="C166">
        <f ca="1">COUNTIF(A$2:A166,1)</f>
        <v>82</v>
      </c>
      <c r="D166">
        <f ca="1">COUNTIF(A$2:A166,0)</f>
        <v>83</v>
      </c>
      <c r="E166">
        <f t="shared" ca="1" si="7"/>
        <v>49.696969696969695</v>
      </c>
    </row>
    <row r="167" spans="1:5" x14ac:dyDescent="0.3">
      <c r="A167">
        <f t="shared" ca="1" si="6"/>
        <v>1</v>
      </c>
      <c r="C167">
        <f ca="1">COUNTIF(A$2:A167,1)</f>
        <v>83</v>
      </c>
      <c r="D167">
        <f ca="1">COUNTIF(A$2:A167,0)</f>
        <v>83</v>
      </c>
      <c r="E167">
        <f t="shared" ca="1" si="7"/>
        <v>50</v>
      </c>
    </row>
    <row r="168" spans="1:5" x14ac:dyDescent="0.3">
      <c r="A168">
        <f t="shared" ca="1" si="6"/>
        <v>1</v>
      </c>
      <c r="C168">
        <f ca="1">COUNTIF(A$2:A168,1)</f>
        <v>84</v>
      </c>
      <c r="D168">
        <f ca="1">COUNTIF(A$2:A168,0)</f>
        <v>83</v>
      </c>
      <c r="E168">
        <f t="shared" ca="1" si="7"/>
        <v>50.299401197604787</v>
      </c>
    </row>
    <row r="169" spans="1:5" x14ac:dyDescent="0.3">
      <c r="A169">
        <f t="shared" ca="1" si="6"/>
        <v>1</v>
      </c>
      <c r="C169">
        <f ca="1">COUNTIF(A$2:A169,1)</f>
        <v>85</v>
      </c>
      <c r="D169">
        <f ca="1">COUNTIF(A$2:A169,0)</f>
        <v>83</v>
      </c>
      <c r="E169">
        <f t="shared" ca="1" si="7"/>
        <v>50.595238095238095</v>
      </c>
    </row>
    <row r="170" spans="1:5" x14ac:dyDescent="0.3">
      <c r="A170">
        <f t="shared" ca="1" si="6"/>
        <v>0</v>
      </c>
      <c r="C170">
        <f ca="1">COUNTIF(A$2:A170,1)</f>
        <v>85</v>
      </c>
      <c r="D170">
        <f ca="1">COUNTIF(A$2:A170,0)</f>
        <v>84</v>
      </c>
      <c r="E170">
        <f t="shared" ca="1" si="7"/>
        <v>50.295857988165679</v>
      </c>
    </row>
    <row r="171" spans="1:5" x14ac:dyDescent="0.3">
      <c r="A171">
        <f t="shared" ca="1" si="6"/>
        <v>0</v>
      </c>
      <c r="C171">
        <f ca="1">COUNTIF(A$2:A171,1)</f>
        <v>85</v>
      </c>
      <c r="D171">
        <f ca="1">COUNTIF(A$2:A171,0)</f>
        <v>85</v>
      </c>
      <c r="E171">
        <f t="shared" ca="1" si="7"/>
        <v>50</v>
      </c>
    </row>
    <row r="172" spans="1:5" x14ac:dyDescent="0.3">
      <c r="A172">
        <f t="shared" ca="1" si="6"/>
        <v>0</v>
      </c>
      <c r="C172">
        <f ca="1">COUNTIF(A$2:A172,1)</f>
        <v>85</v>
      </c>
      <c r="D172">
        <f ca="1">COUNTIF(A$2:A172,0)</f>
        <v>86</v>
      </c>
      <c r="E172">
        <f t="shared" ca="1" si="7"/>
        <v>49.707602339181285</v>
      </c>
    </row>
    <row r="173" spans="1:5" x14ac:dyDescent="0.3">
      <c r="A173">
        <f t="shared" ca="1" si="6"/>
        <v>0</v>
      </c>
      <c r="C173">
        <f ca="1">COUNTIF(A$2:A173,1)</f>
        <v>85</v>
      </c>
      <c r="D173">
        <f ca="1">COUNTIF(A$2:A173,0)</f>
        <v>87</v>
      </c>
      <c r="E173">
        <f t="shared" ca="1" si="7"/>
        <v>49.418604651162788</v>
      </c>
    </row>
    <row r="174" spans="1:5" x14ac:dyDescent="0.3">
      <c r="A174">
        <f t="shared" ref="A174:A201" ca="1" si="8">ROUND(RAND(),0)</f>
        <v>0</v>
      </c>
      <c r="C174">
        <f ca="1">COUNTIF(A$2:A174,1)</f>
        <v>85</v>
      </c>
      <c r="D174">
        <f ca="1">COUNTIF(A$2:A174,0)</f>
        <v>88</v>
      </c>
      <c r="E174">
        <f t="shared" ca="1" si="7"/>
        <v>49.132947976878611</v>
      </c>
    </row>
    <row r="175" spans="1:5" x14ac:dyDescent="0.3">
      <c r="A175">
        <f t="shared" ca="1" si="8"/>
        <v>0</v>
      </c>
      <c r="C175">
        <f ca="1">COUNTIF(A$2:A175,1)</f>
        <v>85</v>
      </c>
      <c r="D175">
        <f ca="1">COUNTIF(A$2:A175,0)</f>
        <v>89</v>
      </c>
      <c r="E175">
        <f t="shared" ca="1" si="7"/>
        <v>48.850574712643677</v>
      </c>
    </row>
    <row r="176" spans="1:5" x14ac:dyDescent="0.3">
      <c r="A176">
        <f t="shared" ca="1" si="8"/>
        <v>1</v>
      </c>
      <c r="C176">
        <f ca="1">COUNTIF(A$2:A176,1)</f>
        <v>86</v>
      </c>
      <c r="D176">
        <f ca="1">COUNTIF(A$2:A176,0)</f>
        <v>89</v>
      </c>
      <c r="E176">
        <f t="shared" ca="1" si="7"/>
        <v>49.142857142857146</v>
      </c>
    </row>
    <row r="177" spans="1:5" x14ac:dyDescent="0.3">
      <c r="A177">
        <f t="shared" ca="1" si="8"/>
        <v>1</v>
      </c>
      <c r="C177">
        <f ca="1">COUNTIF(A$2:A177,1)</f>
        <v>87</v>
      </c>
      <c r="D177">
        <f ca="1">COUNTIF(A$2:A177,0)</f>
        <v>89</v>
      </c>
      <c r="E177">
        <f t="shared" ca="1" si="7"/>
        <v>49.43181818181818</v>
      </c>
    </row>
    <row r="178" spans="1:5" x14ac:dyDescent="0.3">
      <c r="A178">
        <f t="shared" ca="1" si="8"/>
        <v>0</v>
      </c>
      <c r="C178">
        <f ca="1">COUNTIF(A$2:A178,1)</f>
        <v>87</v>
      </c>
      <c r="D178">
        <f ca="1">COUNTIF(A$2:A178,0)</f>
        <v>90</v>
      </c>
      <c r="E178">
        <f t="shared" ca="1" si="7"/>
        <v>49.152542372881356</v>
      </c>
    </row>
    <row r="179" spans="1:5" x14ac:dyDescent="0.3">
      <c r="A179">
        <f t="shared" ca="1" si="8"/>
        <v>1</v>
      </c>
      <c r="C179">
        <f ca="1">COUNTIF(A$2:A179,1)</f>
        <v>88</v>
      </c>
      <c r="D179">
        <f ca="1">COUNTIF(A$2:A179,0)</f>
        <v>90</v>
      </c>
      <c r="E179">
        <f t="shared" ca="1" si="7"/>
        <v>49.438202247191008</v>
      </c>
    </row>
    <row r="180" spans="1:5" x14ac:dyDescent="0.3">
      <c r="A180">
        <f t="shared" ca="1" si="8"/>
        <v>0</v>
      </c>
      <c r="C180">
        <f ca="1">COUNTIF(A$2:A180,1)</f>
        <v>88</v>
      </c>
      <c r="D180">
        <f ca="1">COUNTIF(A$2:A180,0)</f>
        <v>91</v>
      </c>
      <c r="E180">
        <f t="shared" ca="1" si="7"/>
        <v>49.162011173184354</v>
      </c>
    </row>
    <row r="181" spans="1:5" x14ac:dyDescent="0.3">
      <c r="A181">
        <f t="shared" ca="1" si="8"/>
        <v>0</v>
      </c>
      <c r="C181">
        <f ca="1">COUNTIF(A$2:A181,1)</f>
        <v>88</v>
      </c>
      <c r="D181">
        <f ca="1">COUNTIF(A$2:A181,0)</f>
        <v>92</v>
      </c>
      <c r="E181">
        <f t="shared" ca="1" si="7"/>
        <v>48.888888888888886</v>
      </c>
    </row>
    <row r="182" spans="1:5" x14ac:dyDescent="0.3">
      <c r="A182">
        <f t="shared" ca="1" si="8"/>
        <v>0</v>
      </c>
      <c r="C182">
        <f ca="1">COUNTIF(A$2:A182,1)</f>
        <v>88</v>
      </c>
      <c r="D182">
        <f ca="1">COUNTIF(A$2:A182,0)</f>
        <v>93</v>
      </c>
      <c r="E182">
        <f t="shared" ca="1" si="7"/>
        <v>48.618784530386741</v>
      </c>
    </row>
    <row r="183" spans="1:5" x14ac:dyDescent="0.3">
      <c r="A183">
        <f t="shared" ca="1" si="8"/>
        <v>0</v>
      </c>
      <c r="C183">
        <f ca="1">COUNTIF(A$2:A183,1)</f>
        <v>88</v>
      </c>
      <c r="D183">
        <f ca="1">COUNTIF(A$2:A183,0)</f>
        <v>94</v>
      </c>
      <c r="E183">
        <f t="shared" ca="1" si="7"/>
        <v>48.35164835164835</v>
      </c>
    </row>
    <row r="184" spans="1:5" x14ac:dyDescent="0.3">
      <c r="A184">
        <f t="shared" ca="1" si="8"/>
        <v>0</v>
      </c>
      <c r="C184">
        <f ca="1">COUNTIF(A$2:A184,1)</f>
        <v>88</v>
      </c>
      <c r="D184">
        <f ca="1">COUNTIF(A$2:A184,0)</f>
        <v>95</v>
      </c>
      <c r="E184">
        <f t="shared" ca="1" si="7"/>
        <v>48.087431693989068</v>
      </c>
    </row>
    <row r="185" spans="1:5" x14ac:dyDescent="0.3">
      <c r="A185">
        <f t="shared" ca="1" si="8"/>
        <v>1</v>
      </c>
      <c r="C185">
        <f ca="1">COUNTIF(A$2:A185,1)</f>
        <v>89</v>
      </c>
      <c r="D185">
        <f ca="1">COUNTIF(A$2:A185,0)</f>
        <v>95</v>
      </c>
      <c r="E185">
        <f t="shared" ca="1" si="7"/>
        <v>48.369565217391305</v>
      </c>
    </row>
    <row r="186" spans="1:5" x14ac:dyDescent="0.3">
      <c r="A186">
        <f t="shared" ca="1" si="8"/>
        <v>1</v>
      </c>
      <c r="C186">
        <f ca="1">COUNTIF(A$2:A186,1)</f>
        <v>90</v>
      </c>
      <c r="D186">
        <f ca="1">COUNTIF(A$2:A186,0)</f>
        <v>95</v>
      </c>
      <c r="E186">
        <f t="shared" ca="1" si="7"/>
        <v>48.648648648648653</v>
      </c>
    </row>
    <row r="187" spans="1:5" x14ac:dyDescent="0.3">
      <c r="A187">
        <f t="shared" ca="1" si="8"/>
        <v>0</v>
      </c>
      <c r="C187">
        <f ca="1">COUNTIF(A$2:A187,1)</f>
        <v>90</v>
      </c>
      <c r="D187">
        <f ca="1">COUNTIF(A$2:A187,0)</f>
        <v>96</v>
      </c>
      <c r="E187">
        <f t="shared" ca="1" si="7"/>
        <v>48.387096774193552</v>
      </c>
    </row>
    <row r="188" spans="1:5" x14ac:dyDescent="0.3">
      <c r="A188">
        <f t="shared" ca="1" si="8"/>
        <v>0</v>
      </c>
      <c r="C188">
        <f ca="1">COUNTIF(A$2:A188,1)</f>
        <v>90</v>
      </c>
      <c r="D188">
        <f ca="1">COUNTIF(A$2:A188,0)</f>
        <v>97</v>
      </c>
      <c r="E188">
        <f t="shared" ca="1" si="7"/>
        <v>48.128342245989302</v>
      </c>
    </row>
    <row r="189" spans="1:5" x14ac:dyDescent="0.3">
      <c r="A189">
        <f t="shared" ca="1" si="8"/>
        <v>1</v>
      </c>
      <c r="C189">
        <f ca="1">COUNTIF(A$2:A189,1)</f>
        <v>91</v>
      </c>
      <c r="D189">
        <f ca="1">COUNTIF(A$2:A189,0)</f>
        <v>97</v>
      </c>
      <c r="E189">
        <f t="shared" ca="1" si="7"/>
        <v>48.404255319148938</v>
      </c>
    </row>
    <row r="190" spans="1:5" x14ac:dyDescent="0.3">
      <c r="A190">
        <f t="shared" ca="1" si="8"/>
        <v>0</v>
      </c>
      <c r="C190">
        <f ca="1">COUNTIF(A$2:A190,1)</f>
        <v>91</v>
      </c>
      <c r="D190">
        <f ca="1">COUNTIF(A$2:A190,0)</f>
        <v>98</v>
      </c>
      <c r="E190">
        <f t="shared" ca="1" si="7"/>
        <v>48.148148148148145</v>
      </c>
    </row>
    <row r="191" spans="1:5" x14ac:dyDescent="0.3">
      <c r="A191">
        <f t="shared" ca="1" si="8"/>
        <v>0</v>
      </c>
      <c r="C191">
        <f ca="1">COUNTIF(A$2:A191,1)</f>
        <v>91</v>
      </c>
      <c r="D191">
        <f ca="1">COUNTIF(A$2:A191,0)</f>
        <v>99</v>
      </c>
      <c r="E191">
        <f t="shared" ca="1" si="7"/>
        <v>47.89473684210526</v>
      </c>
    </row>
    <row r="192" spans="1:5" x14ac:dyDescent="0.3">
      <c r="A192">
        <f t="shared" ca="1" si="8"/>
        <v>1</v>
      </c>
      <c r="C192">
        <f ca="1">COUNTIF(A$2:A192,1)</f>
        <v>92</v>
      </c>
      <c r="D192">
        <f ca="1">COUNTIF(A$2:A192,0)</f>
        <v>99</v>
      </c>
      <c r="E192">
        <f t="shared" ca="1" si="7"/>
        <v>48.167539267015705</v>
      </c>
    </row>
    <row r="193" spans="1:5" x14ac:dyDescent="0.3">
      <c r="A193">
        <f t="shared" ca="1" si="8"/>
        <v>0</v>
      </c>
      <c r="C193">
        <f ca="1">COUNTIF(A$2:A193,1)</f>
        <v>92</v>
      </c>
      <c r="D193">
        <f ca="1">COUNTIF(A$2:A193,0)</f>
        <v>100</v>
      </c>
      <c r="E193">
        <f t="shared" ca="1" si="7"/>
        <v>47.916666666666671</v>
      </c>
    </row>
    <row r="194" spans="1:5" x14ac:dyDescent="0.3">
      <c r="A194">
        <f t="shared" ca="1" si="8"/>
        <v>1</v>
      </c>
      <c r="C194">
        <f ca="1">COUNTIF(A$2:A194,1)</f>
        <v>93</v>
      </c>
      <c r="D194">
        <f ca="1">COUNTIF(A$2:A194,0)</f>
        <v>100</v>
      </c>
      <c r="E194">
        <f t="shared" ca="1" si="7"/>
        <v>48.186528497409327</v>
      </c>
    </row>
    <row r="195" spans="1:5" x14ac:dyDescent="0.3">
      <c r="A195">
        <f t="shared" ca="1" si="8"/>
        <v>1</v>
      </c>
      <c r="C195">
        <f ca="1">COUNTIF(A$2:A195,1)</f>
        <v>94</v>
      </c>
      <c r="D195">
        <f ca="1">COUNTIF(A$2:A195,0)</f>
        <v>100</v>
      </c>
      <c r="E195">
        <f t="shared" ref="E195:E258" ca="1" si="9">C195/(C195+D195)*100</f>
        <v>48.453608247422679</v>
      </c>
    </row>
    <row r="196" spans="1:5" x14ac:dyDescent="0.3">
      <c r="A196">
        <f t="shared" ca="1" si="8"/>
        <v>0</v>
      </c>
      <c r="C196">
        <f ca="1">COUNTIF(A$2:A196,1)</f>
        <v>94</v>
      </c>
      <c r="D196">
        <f ca="1">COUNTIF(A$2:A196,0)</f>
        <v>101</v>
      </c>
      <c r="E196">
        <f t="shared" ca="1" si="9"/>
        <v>48.205128205128204</v>
      </c>
    </row>
    <row r="197" spans="1:5" x14ac:dyDescent="0.3">
      <c r="A197">
        <f t="shared" ca="1" si="8"/>
        <v>1</v>
      </c>
      <c r="C197">
        <f ca="1">COUNTIF(A$2:A197,1)</f>
        <v>95</v>
      </c>
      <c r="D197">
        <f ca="1">COUNTIF(A$2:A197,0)</f>
        <v>101</v>
      </c>
      <c r="E197">
        <f t="shared" ca="1" si="9"/>
        <v>48.469387755102041</v>
      </c>
    </row>
    <row r="198" spans="1:5" x14ac:dyDescent="0.3">
      <c r="A198">
        <f t="shared" ca="1" si="8"/>
        <v>0</v>
      </c>
      <c r="C198">
        <f ca="1">COUNTIF(A$2:A198,1)</f>
        <v>95</v>
      </c>
      <c r="D198">
        <f ca="1">COUNTIF(A$2:A198,0)</f>
        <v>102</v>
      </c>
      <c r="E198">
        <f t="shared" ca="1" si="9"/>
        <v>48.223350253807105</v>
      </c>
    </row>
    <row r="199" spans="1:5" x14ac:dyDescent="0.3">
      <c r="A199">
        <f t="shared" ca="1" si="8"/>
        <v>0</v>
      </c>
      <c r="C199">
        <f ca="1">COUNTIF(A$2:A199,1)</f>
        <v>95</v>
      </c>
      <c r="D199">
        <f ca="1">COUNTIF(A$2:A199,0)</f>
        <v>103</v>
      </c>
      <c r="E199">
        <f t="shared" ca="1" si="9"/>
        <v>47.979797979797979</v>
      </c>
    </row>
    <row r="200" spans="1:5" x14ac:dyDescent="0.3">
      <c r="A200">
        <f t="shared" ca="1" si="8"/>
        <v>0</v>
      </c>
      <c r="C200">
        <f ca="1">COUNTIF(A$2:A200,1)</f>
        <v>95</v>
      </c>
      <c r="D200">
        <f ca="1">COUNTIF(A$2:A200,0)</f>
        <v>104</v>
      </c>
      <c r="E200">
        <f t="shared" ca="1" si="9"/>
        <v>47.738693467336688</v>
      </c>
    </row>
    <row r="201" spans="1:5" x14ac:dyDescent="0.3">
      <c r="A201">
        <f t="shared" ca="1" si="8"/>
        <v>0</v>
      </c>
      <c r="C201">
        <f ca="1">COUNTIF(A$2:A201,1)</f>
        <v>95</v>
      </c>
      <c r="D201">
        <f ca="1">COUNTIF(A$2:A201,0)</f>
        <v>105</v>
      </c>
      <c r="E201">
        <f t="shared" ca="1" si="9"/>
        <v>47.5</v>
      </c>
    </row>
    <row r="202" spans="1:5" x14ac:dyDescent="0.3">
      <c r="A202">
        <f ca="1">ROUND(RAND(),0)</f>
        <v>1</v>
      </c>
      <c r="C202">
        <f ca="1">COUNTIF(A$2:A202,1)</f>
        <v>96</v>
      </c>
      <c r="D202">
        <f ca="1">COUNTIF(A$2:A202,0)</f>
        <v>105</v>
      </c>
      <c r="E202">
        <f t="shared" ca="1" si="9"/>
        <v>47.761194029850742</v>
      </c>
    </row>
    <row r="203" spans="1:5" x14ac:dyDescent="0.3">
      <c r="A203">
        <f ca="1">ROUND(RAND(),0)</f>
        <v>1</v>
      </c>
      <c r="C203">
        <f ca="1">COUNTIF(A$2:A203,1)</f>
        <v>97</v>
      </c>
      <c r="D203">
        <f ca="1">COUNTIF(A$2:A203,0)</f>
        <v>105</v>
      </c>
      <c r="E203">
        <f t="shared" ca="1" si="9"/>
        <v>48.019801980198018</v>
      </c>
    </row>
    <row r="204" spans="1:5" x14ac:dyDescent="0.3">
      <c r="A204">
        <f ca="1">ROUND(RAND(),0)</f>
        <v>0</v>
      </c>
      <c r="C204">
        <f ca="1">COUNTIF(A$2:A204,1)</f>
        <v>97</v>
      </c>
      <c r="D204">
        <f ca="1">COUNTIF(A$2:A204,0)</f>
        <v>106</v>
      </c>
      <c r="E204">
        <f t="shared" ca="1" si="9"/>
        <v>47.783251231527096</v>
      </c>
    </row>
    <row r="205" spans="1:5" x14ac:dyDescent="0.3">
      <c r="A205">
        <f ca="1">ROUND(RAND(),0)</f>
        <v>0</v>
      </c>
      <c r="C205">
        <f ca="1">COUNTIF(A$2:A205,1)</f>
        <v>97</v>
      </c>
      <c r="D205">
        <f ca="1">COUNTIF(A$2:A205,0)</f>
        <v>107</v>
      </c>
      <c r="E205">
        <f t="shared" ca="1" si="9"/>
        <v>47.549019607843135</v>
      </c>
    </row>
    <row r="206" spans="1:5" x14ac:dyDescent="0.3">
      <c r="A206">
        <f ca="1">ROUND(RAND(),0)</f>
        <v>1</v>
      </c>
      <c r="C206">
        <f ca="1">COUNTIF(A$2:A206,1)</f>
        <v>98</v>
      </c>
      <c r="D206">
        <f ca="1">COUNTIF(A$2:A206,0)</f>
        <v>107</v>
      </c>
      <c r="E206">
        <f t="shared" ca="1" si="9"/>
        <v>47.804878048780488</v>
      </c>
    </row>
    <row r="207" spans="1:5" x14ac:dyDescent="0.3">
      <c r="A207">
        <f t="shared" ref="A207:A273" ca="1" si="10">ROUND(RAND(),0)</f>
        <v>0</v>
      </c>
      <c r="C207">
        <f ca="1">COUNTIF(A$2:A207,1)</f>
        <v>98</v>
      </c>
      <c r="D207">
        <f ca="1">COUNTIF(A$2:A207,0)</f>
        <v>108</v>
      </c>
      <c r="E207">
        <f t="shared" ca="1" si="9"/>
        <v>47.572815533980581</v>
      </c>
    </row>
    <row r="208" spans="1:5" x14ac:dyDescent="0.3">
      <c r="A208">
        <f t="shared" ca="1" si="10"/>
        <v>1</v>
      </c>
      <c r="C208">
        <f ca="1">COUNTIF(A$2:A208,1)</f>
        <v>99</v>
      </c>
      <c r="D208">
        <f ca="1">COUNTIF(A$2:A208,0)</f>
        <v>108</v>
      </c>
      <c r="E208">
        <f t="shared" ca="1" si="9"/>
        <v>47.826086956521742</v>
      </c>
    </row>
    <row r="209" spans="1:5" x14ac:dyDescent="0.3">
      <c r="A209">
        <f t="shared" ca="1" si="10"/>
        <v>1</v>
      </c>
      <c r="C209">
        <f ca="1">COUNTIF(A$2:A209,1)</f>
        <v>100</v>
      </c>
      <c r="D209">
        <f ca="1">COUNTIF(A$2:A209,0)</f>
        <v>108</v>
      </c>
      <c r="E209">
        <f t="shared" ca="1" si="9"/>
        <v>48.07692307692308</v>
      </c>
    </row>
    <row r="210" spans="1:5" x14ac:dyDescent="0.3">
      <c r="A210">
        <f t="shared" ca="1" si="10"/>
        <v>1</v>
      </c>
      <c r="C210">
        <f ca="1">COUNTIF(A$2:A210,1)</f>
        <v>101</v>
      </c>
      <c r="D210">
        <f ca="1">COUNTIF(A$2:A210,0)</f>
        <v>108</v>
      </c>
      <c r="E210">
        <f t="shared" ca="1" si="9"/>
        <v>48.325358851674643</v>
      </c>
    </row>
    <row r="211" spans="1:5" x14ac:dyDescent="0.3">
      <c r="A211">
        <f t="shared" ca="1" si="10"/>
        <v>0</v>
      </c>
      <c r="C211">
        <f ca="1">COUNTIF(A$2:A211,1)</f>
        <v>101</v>
      </c>
      <c r="D211">
        <f ca="1">COUNTIF(A$2:A211,0)</f>
        <v>109</v>
      </c>
      <c r="E211">
        <f t="shared" ca="1" si="9"/>
        <v>48.095238095238095</v>
      </c>
    </row>
    <row r="212" spans="1:5" x14ac:dyDescent="0.3">
      <c r="A212">
        <f t="shared" ca="1" si="10"/>
        <v>1</v>
      </c>
      <c r="C212">
        <f ca="1">COUNTIF(A$2:A212,1)</f>
        <v>102</v>
      </c>
      <c r="D212">
        <f ca="1">COUNTIF(A$2:A212,0)</f>
        <v>109</v>
      </c>
      <c r="E212">
        <f t="shared" ca="1" si="9"/>
        <v>48.341232227488149</v>
      </c>
    </row>
    <row r="213" spans="1:5" x14ac:dyDescent="0.3">
      <c r="A213">
        <f t="shared" ca="1" si="10"/>
        <v>1</v>
      </c>
      <c r="C213">
        <f ca="1">COUNTIF(A$2:A213,1)</f>
        <v>103</v>
      </c>
      <c r="D213">
        <f ca="1">COUNTIF(A$2:A213,0)</f>
        <v>109</v>
      </c>
      <c r="E213">
        <f t="shared" ca="1" si="9"/>
        <v>48.584905660377359</v>
      </c>
    </row>
    <row r="214" spans="1:5" x14ac:dyDescent="0.3">
      <c r="A214">
        <f t="shared" ca="1" si="10"/>
        <v>0</v>
      </c>
      <c r="C214">
        <f ca="1">COUNTIF(A$2:A214,1)</f>
        <v>103</v>
      </c>
      <c r="D214">
        <f ca="1">COUNTIF(A$2:A214,0)</f>
        <v>110</v>
      </c>
      <c r="E214">
        <f t="shared" ca="1" si="9"/>
        <v>48.356807511737088</v>
      </c>
    </row>
    <row r="215" spans="1:5" x14ac:dyDescent="0.3">
      <c r="A215">
        <f t="shared" ca="1" si="10"/>
        <v>1</v>
      </c>
      <c r="C215">
        <f ca="1">COUNTIF(A$2:A215,1)</f>
        <v>104</v>
      </c>
      <c r="D215">
        <f ca="1">COUNTIF(A$2:A215,0)</f>
        <v>110</v>
      </c>
      <c r="E215">
        <f t="shared" ca="1" si="9"/>
        <v>48.598130841121495</v>
      </c>
    </row>
    <row r="216" spans="1:5" x14ac:dyDescent="0.3">
      <c r="A216">
        <f t="shared" ca="1" si="10"/>
        <v>1</v>
      </c>
      <c r="C216">
        <f ca="1">COUNTIF(A$2:A216,1)</f>
        <v>105</v>
      </c>
      <c r="D216">
        <f ca="1">COUNTIF(A$2:A216,0)</f>
        <v>110</v>
      </c>
      <c r="E216">
        <f t="shared" ca="1" si="9"/>
        <v>48.837209302325576</v>
      </c>
    </row>
    <row r="217" spans="1:5" x14ac:dyDescent="0.3">
      <c r="A217">
        <f t="shared" ca="1" si="10"/>
        <v>1</v>
      </c>
      <c r="C217">
        <f ca="1">COUNTIF(A$2:A217,1)</f>
        <v>106</v>
      </c>
      <c r="D217">
        <f ca="1">COUNTIF(A$2:A217,0)</f>
        <v>110</v>
      </c>
      <c r="E217">
        <f t="shared" ca="1" si="9"/>
        <v>49.074074074074076</v>
      </c>
    </row>
    <row r="218" spans="1:5" x14ac:dyDescent="0.3">
      <c r="A218">
        <f t="shared" ca="1" si="10"/>
        <v>0</v>
      </c>
      <c r="C218">
        <f ca="1">COUNTIF(A$2:A218,1)</f>
        <v>106</v>
      </c>
      <c r="D218">
        <f ca="1">COUNTIF(A$2:A218,0)</f>
        <v>111</v>
      </c>
      <c r="E218">
        <f t="shared" ca="1" si="9"/>
        <v>48.847926267281103</v>
      </c>
    </row>
    <row r="219" spans="1:5" x14ac:dyDescent="0.3">
      <c r="A219">
        <f t="shared" ca="1" si="10"/>
        <v>0</v>
      </c>
      <c r="C219">
        <f ca="1">COUNTIF(A$2:A219,1)</f>
        <v>106</v>
      </c>
      <c r="D219">
        <f ca="1">COUNTIF(A$2:A219,0)</f>
        <v>112</v>
      </c>
      <c r="E219">
        <f t="shared" ca="1" si="9"/>
        <v>48.623853211009177</v>
      </c>
    </row>
    <row r="220" spans="1:5" x14ac:dyDescent="0.3">
      <c r="A220">
        <f t="shared" ca="1" si="10"/>
        <v>1</v>
      </c>
      <c r="C220">
        <f ca="1">COUNTIF(A$2:A220,1)</f>
        <v>107</v>
      </c>
      <c r="D220">
        <f ca="1">COUNTIF(A$2:A220,0)</f>
        <v>112</v>
      </c>
      <c r="E220">
        <f t="shared" ca="1" si="9"/>
        <v>48.858447488584474</v>
      </c>
    </row>
    <row r="221" spans="1:5" x14ac:dyDescent="0.3">
      <c r="A221">
        <f t="shared" ca="1" si="10"/>
        <v>0</v>
      </c>
      <c r="C221">
        <f ca="1">COUNTIF(A$2:A221,1)</f>
        <v>107</v>
      </c>
      <c r="D221">
        <f ca="1">COUNTIF(A$2:A221,0)</f>
        <v>113</v>
      </c>
      <c r="E221">
        <f t="shared" ca="1" si="9"/>
        <v>48.63636363636364</v>
      </c>
    </row>
    <row r="222" spans="1:5" x14ac:dyDescent="0.3">
      <c r="A222">
        <f t="shared" ca="1" si="10"/>
        <v>0</v>
      </c>
      <c r="C222">
        <f ca="1">COUNTIF(A$2:A222,1)</f>
        <v>107</v>
      </c>
      <c r="D222">
        <f ca="1">COUNTIF(A$2:A222,0)</f>
        <v>114</v>
      </c>
      <c r="E222">
        <f t="shared" ca="1" si="9"/>
        <v>48.41628959276018</v>
      </c>
    </row>
    <row r="223" spans="1:5" x14ac:dyDescent="0.3">
      <c r="A223">
        <f t="shared" ca="1" si="10"/>
        <v>0</v>
      </c>
      <c r="C223">
        <f ca="1">COUNTIF(A$2:A223,1)</f>
        <v>107</v>
      </c>
      <c r="D223">
        <f ca="1">COUNTIF(A$2:A223,0)</f>
        <v>115</v>
      </c>
      <c r="E223">
        <f t="shared" ca="1" si="9"/>
        <v>48.198198198198199</v>
      </c>
    </row>
    <row r="224" spans="1:5" x14ac:dyDescent="0.3">
      <c r="A224">
        <f t="shared" ca="1" si="10"/>
        <v>0</v>
      </c>
      <c r="C224">
        <f ca="1">COUNTIF(A$2:A224,1)</f>
        <v>107</v>
      </c>
      <c r="D224">
        <f ca="1">COUNTIF(A$2:A224,0)</f>
        <v>116</v>
      </c>
      <c r="E224">
        <f t="shared" ca="1" si="9"/>
        <v>47.982062780269061</v>
      </c>
    </row>
    <row r="225" spans="1:5" x14ac:dyDescent="0.3">
      <c r="A225">
        <f t="shared" ca="1" si="10"/>
        <v>1</v>
      </c>
      <c r="C225">
        <f ca="1">COUNTIF(A$2:A225,1)</f>
        <v>108</v>
      </c>
      <c r="D225">
        <f ca="1">COUNTIF(A$2:A225,0)</f>
        <v>116</v>
      </c>
      <c r="E225">
        <f t="shared" ca="1" si="9"/>
        <v>48.214285714285715</v>
      </c>
    </row>
    <row r="226" spans="1:5" x14ac:dyDescent="0.3">
      <c r="A226">
        <f t="shared" ca="1" si="10"/>
        <v>1</v>
      </c>
      <c r="C226">
        <f ca="1">COUNTIF(A$2:A226,1)</f>
        <v>109</v>
      </c>
      <c r="D226">
        <f ca="1">COUNTIF(A$2:A226,0)</f>
        <v>116</v>
      </c>
      <c r="E226">
        <f t="shared" ca="1" si="9"/>
        <v>48.444444444444443</v>
      </c>
    </row>
    <row r="227" spans="1:5" x14ac:dyDescent="0.3">
      <c r="A227">
        <f t="shared" ca="1" si="10"/>
        <v>0</v>
      </c>
      <c r="C227">
        <f ca="1">COUNTIF(A$2:A227,1)</f>
        <v>109</v>
      </c>
      <c r="D227">
        <f ca="1">COUNTIF(A$2:A227,0)</f>
        <v>117</v>
      </c>
      <c r="E227">
        <f t="shared" ca="1" si="9"/>
        <v>48.230088495575217</v>
      </c>
    </row>
    <row r="228" spans="1:5" x14ac:dyDescent="0.3">
      <c r="A228">
        <f t="shared" ca="1" si="10"/>
        <v>0</v>
      </c>
      <c r="C228">
        <f ca="1">COUNTIF(A$2:A228,1)</f>
        <v>109</v>
      </c>
      <c r="D228">
        <f ca="1">COUNTIF(A$2:A228,0)</f>
        <v>118</v>
      </c>
      <c r="E228">
        <f t="shared" ca="1" si="9"/>
        <v>48.017621145374449</v>
      </c>
    </row>
    <row r="229" spans="1:5" x14ac:dyDescent="0.3">
      <c r="A229">
        <f t="shared" ca="1" si="10"/>
        <v>0</v>
      </c>
      <c r="C229">
        <f ca="1">COUNTIF(A$2:A229,1)</f>
        <v>109</v>
      </c>
      <c r="D229">
        <f ca="1">COUNTIF(A$2:A229,0)</f>
        <v>119</v>
      </c>
      <c r="E229">
        <f t="shared" ca="1" si="9"/>
        <v>47.807017543859651</v>
      </c>
    </row>
    <row r="230" spans="1:5" x14ac:dyDescent="0.3">
      <c r="A230">
        <f t="shared" ca="1" si="10"/>
        <v>0</v>
      </c>
      <c r="C230">
        <f ca="1">COUNTIF(A$2:A230,1)</f>
        <v>109</v>
      </c>
      <c r="D230">
        <f ca="1">COUNTIF(A$2:A230,0)</f>
        <v>120</v>
      </c>
      <c r="E230">
        <f t="shared" ca="1" si="9"/>
        <v>47.598253275109172</v>
      </c>
    </row>
    <row r="231" spans="1:5" x14ac:dyDescent="0.3">
      <c r="A231">
        <f t="shared" ca="1" si="10"/>
        <v>1</v>
      </c>
      <c r="C231">
        <f ca="1">COUNTIF(A$2:A231,1)</f>
        <v>110</v>
      </c>
      <c r="D231">
        <f ca="1">COUNTIF(A$2:A231,0)</f>
        <v>120</v>
      </c>
      <c r="E231">
        <f t="shared" ca="1" si="9"/>
        <v>47.826086956521742</v>
      </c>
    </row>
    <row r="232" spans="1:5" x14ac:dyDescent="0.3">
      <c r="A232">
        <f t="shared" ca="1" si="10"/>
        <v>0</v>
      </c>
      <c r="C232">
        <f ca="1">COUNTIF(A$2:A232,1)</f>
        <v>110</v>
      </c>
      <c r="D232">
        <f ca="1">COUNTIF(A$2:A232,0)</f>
        <v>121</v>
      </c>
      <c r="E232">
        <f t="shared" ca="1" si="9"/>
        <v>47.619047619047613</v>
      </c>
    </row>
    <row r="233" spans="1:5" x14ac:dyDescent="0.3">
      <c r="A233">
        <f t="shared" ca="1" si="10"/>
        <v>1</v>
      </c>
      <c r="C233">
        <f ca="1">COUNTIF(A$2:A233,1)</f>
        <v>111</v>
      </c>
      <c r="D233">
        <f ca="1">COUNTIF(A$2:A233,0)</f>
        <v>121</v>
      </c>
      <c r="E233">
        <f t="shared" ca="1" si="9"/>
        <v>47.844827586206897</v>
      </c>
    </row>
    <row r="234" spans="1:5" x14ac:dyDescent="0.3">
      <c r="A234">
        <f t="shared" ca="1" si="10"/>
        <v>1</v>
      </c>
      <c r="C234">
        <f ca="1">COUNTIF(A$2:A234,1)</f>
        <v>112</v>
      </c>
      <c r="D234">
        <f ca="1">COUNTIF(A$2:A234,0)</f>
        <v>121</v>
      </c>
      <c r="E234">
        <f t="shared" ca="1" si="9"/>
        <v>48.068669527896994</v>
      </c>
    </row>
    <row r="235" spans="1:5" x14ac:dyDescent="0.3">
      <c r="A235">
        <f t="shared" ca="1" si="10"/>
        <v>0</v>
      </c>
      <c r="C235">
        <f ca="1">COUNTIF(A$2:A235,1)</f>
        <v>112</v>
      </c>
      <c r="D235">
        <f ca="1">COUNTIF(A$2:A235,0)</f>
        <v>122</v>
      </c>
      <c r="E235">
        <f t="shared" ca="1" si="9"/>
        <v>47.863247863247864</v>
      </c>
    </row>
    <row r="236" spans="1:5" x14ac:dyDescent="0.3">
      <c r="A236">
        <f t="shared" ca="1" si="10"/>
        <v>0</v>
      </c>
      <c r="C236">
        <f ca="1">COUNTIF(A$2:A236,1)</f>
        <v>112</v>
      </c>
      <c r="D236">
        <f ca="1">COUNTIF(A$2:A236,0)</f>
        <v>123</v>
      </c>
      <c r="E236">
        <f t="shared" ca="1" si="9"/>
        <v>47.659574468085111</v>
      </c>
    </row>
    <row r="237" spans="1:5" x14ac:dyDescent="0.3">
      <c r="A237">
        <f t="shared" ca="1" si="10"/>
        <v>1</v>
      </c>
      <c r="C237">
        <f ca="1">COUNTIF(A$2:A237,1)</f>
        <v>113</v>
      </c>
      <c r="D237">
        <f ca="1">COUNTIF(A$2:A237,0)</f>
        <v>123</v>
      </c>
      <c r="E237">
        <f t="shared" ca="1" si="9"/>
        <v>47.881355932203391</v>
      </c>
    </row>
    <row r="238" spans="1:5" x14ac:dyDescent="0.3">
      <c r="A238">
        <f t="shared" ca="1" si="10"/>
        <v>0</v>
      </c>
      <c r="C238">
        <f ca="1">COUNTIF(A$2:A238,1)</f>
        <v>113</v>
      </c>
      <c r="D238">
        <f ca="1">COUNTIF(A$2:A238,0)</f>
        <v>124</v>
      </c>
      <c r="E238">
        <f t="shared" ca="1" si="9"/>
        <v>47.679324894514771</v>
      </c>
    </row>
    <row r="239" spans="1:5" x14ac:dyDescent="0.3">
      <c r="A239">
        <f t="shared" ca="1" si="10"/>
        <v>1</v>
      </c>
      <c r="C239">
        <f ca="1">COUNTIF(A$2:A239,1)</f>
        <v>114</v>
      </c>
      <c r="D239">
        <f ca="1">COUNTIF(A$2:A239,0)</f>
        <v>124</v>
      </c>
      <c r="E239">
        <f t="shared" ca="1" si="9"/>
        <v>47.899159663865547</v>
      </c>
    </row>
    <row r="240" spans="1:5" x14ac:dyDescent="0.3">
      <c r="A240">
        <f t="shared" ca="1" si="10"/>
        <v>1</v>
      </c>
      <c r="C240">
        <f ca="1">COUNTIF(A$2:A240,1)</f>
        <v>115</v>
      </c>
      <c r="D240">
        <f ca="1">COUNTIF(A$2:A240,0)</f>
        <v>124</v>
      </c>
      <c r="E240">
        <f t="shared" ca="1" si="9"/>
        <v>48.11715481171548</v>
      </c>
    </row>
    <row r="241" spans="1:5" x14ac:dyDescent="0.3">
      <c r="A241">
        <f t="shared" ca="1" si="10"/>
        <v>0</v>
      </c>
      <c r="C241">
        <f ca="1">COUNTIF(A$2:A241,1)</f>
        <v>115</v>
      </c>
      <c r="D241">
        <f ca="1">COUNTIF(A$2:A241,0)</f>
        <v>125</v>
      </c>
      <c r="E241">
        <f t="shared" ca="1" si="9"/>
        <v>47.916666666666671</v>
      </c>
    </row>
    <row r="242" spans="1:5" x14ac:dyDescent="0.3">
      <c r="A242">
        <f t="shared" ca="1" si="10"/>
        <v>1</v>
      </c>
      <c r="C242">
        <f ca="1">COUNTIF(A$2:A242,1)</f>
        <v>116</v>
      </c>
      <c r="D242">
        <f ca="1">COUNTIF(A$2:A242,0)</f>
        <v>125</v>
      </c>
      <c r="E242">
        <f t="shared" ca="1" si="9"/>
        <v>48.132780082987551</v>
      </c>
    </row>
    <row r="243" spans="1:5" x14ac:dyDescent="0.3">
      <c r="A243">
        <f t="shared" ca="1" si="10"/>
        <v>0</v>
      </c>
      <c r="C243">
        <f ca="1">COUNTIF(A$2:A243,1)</f>
        <v>116</v>
      </c>
      <c r="D243">
        <f ca="1">COUNTIF(A$2:A243,0)</f>
        <v>126</v>
      </c>
      <c r="E243">
        <f t="shared" ca="1" si="9"/>
        <v>47.933884297520663</v>
      </c>
    </row>
    <row r="244" spans="1:5" x14ac:dyDescent="0.3">
      <c r="A244">
        <f t="shared" ca="1" si="10"/>
        <v>1</v>
      </c>
      <c r="C244">
        <f ca="1">COUNTIF(A$2:A244,1)</f>
        <v>117</v>
      </c>
      <c r="D244">
        <f ca="1">COUNTIF(A$2:A244,0)</f>
        <v>126</v>
      </c>
      <c r="E244">
        <f t="shared" ca="1" si="9"/>
        <v>48.148148148148145</v>
      </c>
    </row>
    <row r="245" spans="1:5" x14ac:dyDescent="0.3">
      <c r="A245">
        <f t="shared" ca="1" si="10"/>
        <v>0</v>
      </c>
      <c r="C245">
        <f ca="1">COUNTIF(A$2:A245,1)</f>
        <v>117</v>
      </c>
      <c r="D245">
        <f ca="1">COUNTIF(A$2:A245,0)</f>
        <v>127</v>
      </c>
      <c r="E245">
        <f t="shared" ca="1" si="9"/>
        <v>47.950819672131146</v>
      </c>
    </row>
    <row r="246" spans="1:5" x14ac:dyDescent="0.3">
      <c r="A246">
        <f t="shared" ca="1" si="10"/>
        <v>0</v>
      </c>
      <c r="C246">
        <f ca="1">COUNTIF(A$2:A246,1)</f>
        <v>117</v>
      </c>
      <c r="D246">
        <f ca="1">COUNTIF(A$2:A246,0)</f>
        <v>128</v>
      </c>
      <c r="E246">
        <f t="shared" ca="1" si="9"/>
        <v>47.755102040816325</v>
      </c>
    </row>
    <row r="247" spans="1:5" x14ac:dyDescent="0.3">
      <c r="A247">
        <f t="shared" ca="1" si="10"/>
        <v>1</v>
      </c>
      <c r="C247">
        <f ca="1">COUNTIF(A$2:A247,1)</f>
        <v>118</v>
      </c>
      <c r="D247">
        <f ca="1">COUNTIF(A$2:A247,0)</f>
        <v>128</v>
      </c>
      <c r="E247">
        <f t="shared" ca="1" si="9"/>
        <v>47.967479674796749</v>
      </c>
    </row>
    <row r="248" spans="1:5" x14ac:dyDescent="0.3">
      <c r="A248">
        <f t="shared" ca="1" si="10"/>
        <v>1</v>
      </c>
      <c r="C248">
        <f ca="1">COUNTIF(A$2:A248,1)</f>
        <v>119</v>
      </c>
      <c r="D248">
        <f ca="1">COUNTIF(A$2:A248,0)</f>
        <v>128</v>
      </c>
      <c r="E248">
        <f t="shared" ca="1" si="9"/>
        <v>48.178137651821864</v>
      </c>
    </row>
    <row r="249" spans="1:5" x14ac:dyDescent="0.3">
      <c r="A249">
        <f t="shared" ca="1" si="10"/>
        <v>1</v>
      </c>
      <c r="C249">
        <f ca="1">COUNTIF(A$2:A249,1)</f>
        <v>120</v>
      </c>
      <c r="D249">
        <f ca="1">COUNTIF(A$2:A249,0)</f>
        <v>128</v>
      </c>
      <c r="E249">
        <f t="shared" ca="1" si="9"/>
        <v>48.387096774193552</v>
      </c>
    </row>
    <row r="250" spans="1:5" x14ac:dyDescent="0.3">
      <c r="A250">
        <f t="shared" ca="1" si="10"/>
        <v>1</v>
      </c>
      <c r="C250">
        <f ca="1">COUNTIF(A$2:A250,1)</f>
        <v>121</v>
      </c>
      <c r="D250">
        <f ca="1">COUNTIF(A$2:A250,0)</f>
        <v>128</v>
      </c>
      <c r="E250">
        <f t="shared" ca="1" si="9"/>
        <v>48.594377510040161</v>
      </c>
    </row>
    <row r="251" spans="1:5" x14ac:dyDescent="0.3">
      <c r="A251">
        <f t="shared" ca="1" si="10"/>
        <v>0</v>
      </c>
      <c r="C251">
        <f ca="1">COUNTIF(A$2:A251,1)</f>
        <v>121</v>
      </c>
      <c r="D251">
        <f ca="1">COUNTIF(A$2:A251,0)</f>
        <v>129</v>
      </c>
      <c r="E251">
        <f t="shared" ca="1" si="9"/>
        <v>48.4</v>
      </c>
    </row>
    <row r="252" spans="1:5" x14ac:dyDescent="0.3">
      <c r="A252">
        <f t="shared" ca="1" si="10"/>
        <v>1</v>
      </c>
      <c r="C252">
        <f ca="1">COUNTIF(A$2:A252,1)</f>
        <v>122</v>
      </c>
      <c r="D252">
        <f ca="1">COUNTIF(A$2:A252,0)</f>
        <v>129</v>
      </c>
      <c r="E252">
        <f t="shared" ca="1" si="9"/>
        <v>48.605577689243027</v>
      </c>
    </row>
    <row r="253" spans="1:5" x14ac:dyDescent="0.3">
      <c r="A253">
        <f t="shared" ca="1" si="10"/>
        <v>0</v>
      </c>
      <c r="C253">
        <f ca="1">COUNTIF(A$2:A253,1)</f>
        <v>122</v>
      </c>
      <c r="D253">
        <f ca="1">COUNTIF(A$2:A253,0)</f>
        <v>130</v>
      </c>
      <c r="E253">
        <f t="shared" ca="1" si="9"/>
        <v>48.412698412698411</v>
      </c>
    </row>
    <row r="254" spans="1:5" x14ac:dyDescent="0.3">
      <c r="A254">
        <f t="shared" ca="1" si="10"/>
        <v>0</v>
      </c>
      <c r="C254">
        <f ca="1">COUNTIF(A$2:A254,1)</f>
        <v>122</v>
      </c>
      <c r="D254">
        <f ca="1">COUNTIF(A$2:A254,0)</f>
        <v>131</v>
      </c>
      <c r="E254">
        <f t="shared" ca="1" si="9"/>
        <v>48.221343873517789</v>
      </c>
    </row>
    <row r="255" spans="1:5" x14ac:dyDescent="0.3">
      <c r="A255">
        <f t="shared" ca="1" si="10"/>
        <v>1</v>
      </c>
      <c r="C255">
        <f ca="1">COUNTIF(A$2:A255,1)</f>
        <v>123</v>
      </c>
      <c r="D255">
        <f ca="1">COUNTIF(A$2:A255,0)</f>
        <v>131</v>
      </c>
      <c r="E255">
        <f t="shared" ca="1" si="9"/>
        <v>48.425196850393696</v>
      </c>
    </row>
    <row r="256" spans="1:5" x14ac:dyDescent="0.3">
      <c r="A256">
        <f t="shared" ca="1" si="10"/>
        <v>1</v>
      </c>
      <c r="C256">
        <f ca="1">COUNTIF(A$2:A256,1)</f>
        <v>124</v>
      </c>
      <c r="D256">
        <f ca="1">COUNTIF(A$2:A256,0)</f>
        <v>131</v>
      </c>
      <c r="E256">
        <f t="shared" ca="1" si="9"/>
        <v>48.627450980392155</v>
      </c>
    </row>
    <row r="257" spans="1:5" x14ac:dyDescent="0.3">
      <c r="A257">
        <f t="shared" ca="1" si="10"/>
        <v>1</v>
      </c>
      <c r="C257">
        <f ca="1">COUNTIF(A$2:A257,1)</f>
        <v>125</v>
      </c>
      <c r="D257">
        <f ca="1">COUNTIF(A$2:A257,0)</f>
        <v>131</v>
      </c>
      <c r="E257">
        <f t="shared" ca="1" si="9"/>
        <v>48.828125</v>
      </c>
    </row>
    <row r="258" spans="1:5" x14ac:dyDescent="0.3">
      <c r="A258">
        <f t="shared" ca="1" si="10"/>
        <v>0</v>
      </c>
      <c r="C258">
        <f ca="1">COUNTIF(A$2:A258,1)</f>
        <v>125</v>
      </c>
      <c r="D258">
        <f ca="1">COUNTIF(A$2:A258,0)</f>
        <v>132</v>
      </c>
      <c r="E258">
        <f t="shared" ca="1" si="9"/>
        <v>48.638132295719842</v>
      </c>
    </row>
    <row r="259" spans="1:5" x14ac:dyDescent="0.3">
      <c r="A259">
        <f t="shared" ca="1" si="10"/>
        <v>0</v>
      </c>
      <c r="C259">
        <f ca="1">COUNTIF(A$2:A259,1)</f>
        <v>125</v>
      </c>
      <c r="D259">
        <f ca="1">COUNTIF(A$2:A259,0)</f>
        <v>133</v>
      </c>
      <c r="E259">
        <f t="shared" ref="E259:E322" ca="1" si="11">C259/(C259+D259)*100</f>
        <v>48.449612403100772</v>
      </c>
    </row>
    <row r="260" spans="1:5" x14ac:dyDescent="0.3">
      <c r="A260">
        <f t="shared" ca="1" si="10"/>
        <v>1</v>
      </c>
      <c r="C260">
        <f ca="1">COUNTIF(A$2:A260,1)</f>
        <v>126</v>
      </c>
      <c r="D260">
        <f ca="1">COUNTIF(A$2:A260,0)</f>
        <v>133</v>
      </c>
      <c r="E260">
        <f t="shared" ca="1" si="11"/>
        <v>48.648648648648653</v>
      </c>
    </row>
    <row r="261" spans="1:5" x14ac:dyDescent="0.3">
      <c r="A261">
        <f t="shared" ca="1" si="10"/>
        <v>1</v>
      </c>
      <c r="C261">
        <f ca="1">COUNTIF(A$2:A261,1)</f>
        <v>127</v>
      </c>
      <c r="D261">
        <f ca="1">COUNTIF(A$2:A261,0)</f>
        <v>133</v>
      </c>
      <c r="E261">
        <f t="shared" ca="1" si="11"/>
        <v>48.846153846153847</v>
      </c>
    </row>
    <row r="262" spans="1:5" x14ac:dyDescent="0.3">
      <c r="A262">
        <f t="shared" ca="1" si="10"/>
        <v>1</v>
      </c>
      <c r="C262">
        <f ca="1">COUNTIF(A$2:A262,1)</f>
        <v>128</v>
      </c>
      <c r="D262">
        <f ca="1">COUNTIF(A$2:A262,0)</f>
        <v>133</v>
      </c>
      <c r="E262">
        <f t="shared" ca="1" si="11"/>
        <v>49.042145593869726</v>
      </c>
    </row>
    <row r="263" spans="1:5" x14ac:dyDescent="0.3">
      <c r="A263">
        <f t="shared" ca="1" si="10"/>
        <v>0</v>
      </c>
      <c r="C263">
        <f ca="1">COUNTIF(A$2:A263,1)</f>
        <v>128</v>
      </c>
      <c r="D263">
        <f ca="1">COUNTIF(A$2:A263,0)</f>
        <v>134</v>
      </c>
      <c r="E263">
        <f t="shared" ca="1" si="11"/>
        <v>48.854961832061065</v>
      </c>
    </row>
    <row r="264" spans="1:5" x14ac:dyDescent="0.3">
      <c r="A264">
        <f t="shared" ca="1" si="10"/>
        <v>0</v>
      </c>
      <c r="C264">
        <f ca="1">COUNTIF(A$2:A264,1)</f>
        <v>128</v>
      </c>
      <c r="D264">
        <f ca="1">COUNTIF(A$2:A264,0)</f>
        <v>135</v>
      </c>
      <c r="E264">
        <f t="shared" ca="1" si="11"/>
        <v>48.669201520912544</v>
      </c>
    </row>
    <row r="265" spans="1:5" x14ac:dyDescent="0.3">
      <c r="A265">
        <f t="shared" ca="1" si="10"/>
        <v>0</v>
      </c>
      <c r="C265">
        <f ca="1">COUNTIF(A$2:A265,1)</f>
        <v>128</v>
      </c>
      <c r="D265">
        <f ca="1">COUNTIF(A$2:A265,0)</f>
        <v>136</v>
      </c>
      <c r="E265">
        <f t="shared" ca="1" si="11"/>
        <v>48.484848484848484</v>
      </c>
    </row>
    <row r="266" spans="1:5" x14ac:dyDescent="0.3">
      <c r="A266">
        <f t="shared" ca="1" si="10"/>
        <v>1</v>
      </c>
      <c r="C266">
        <f ca="1">COUNTIF(A$2:A266,1)</f>
        <v>129</v>
      </c>
      <c r="D266">
        <f ca="1">COUNTIF(A$2:A266,0)</f>
        <v>136</v>
      </c>
      <c r="E266">
        <f t="shared" ca="1" si="11"/>
        <v>48.679245283018865</v>
      </c>
    </row>
    <row r="267" spans="1:5" x14ac:dyDescent="0.3">
      <c r="A267">
        <f t="shared" ca="1" si="10"/>
        <v>1</v>
      </c>
      <c r="C267">
        <f ca="1">COUNTIF(A$2:A267,1)</f>
        <v>130</v>
      </c>
      <c r="D267">
        <f ca="1">COUNTIF(A$2:A267,0)</f>
        <v>136</v>
      </c>
      <c r="E267">
        <f t="shared" ca="1" si="11"/>
        <v>48.872180451127818</v>
      </c>
    </row>
    <row r="268" spans="1:5" x14ac:dyDescent="0.3">
      <c r="A268">
        <f t="shared" ca="1" si="10"/>
        <v>1</v>
      </c>
      <c r="C268">
        <f ca="1">COUNTIF(A$2:A268,1)</f>
        <v>131</v>
      </c>
      <c r="D268">
        <f ca="1">COUNTIF(A$2:A268,0)</f>
        <v>136</v>
      </c>
      <c r="E268">
        <f t="shared" ca="1" si="11"/>
        <v>49.063670411985015</v>
      </c>
    </row>
    <row r="269" spans="1:5" x14ac:dyDescent="0.3">
      <c r="A269">
        <f t="shared" ca="1" si="10"/>
        <v>1</v>
      </c>
      <c r="C269">
        <f ca="1">COUNTIF(A$2:A269,1)</f>
        <v>132</v>
      </c>
      <c r="D269">
        <f ca="1">COUNTIF(A$2:A269,0)</f>
        <v>136</v>
      </c>
      <c r="E269">
        <f t="shared" ca="1" si="11"/>
        <v>49.253731343283583</v>
      </c>
    </row>
    <row r="270" spans="1:5" x14ac:dyDescent="0.3">
      <c r="A270">
        <f t="shared" ca="1" si="10"/>
        <v>0</v>
      </c>
      <c r="C270">
        <f ca="1">COUNTIF(A$2:A270,1)</f>
        <v>132</v>
      </c>
      <c r="D270">
        <f ca="1">COUNTIF(A$2:A270,0)</f>
        <v>137</v>
      </c>
      <c r="E270">
        <f t="shared" ca="1" si="11"/>
        <v>49.070631970260223</v>
      </c>
    </row>
    <row r="271" spans="1:5" x14ac:dyDescent="0.3">
      <c r="A271">
        <f t="shared" ca="1" si="10"/>
        <v>1</v>
      </c>
      <c r="C271">
        <f ca="1">COUNTIF(A$2:A271,1)</f>
        <v>133</v>
      </c>
      <c r="D271">
        <f ca="1">COUNTIF(A$2:A271,0)</f>
        <v>137</v>
      </c>
      <c r="E271">
        <f t="shared" ca="1" si="11"/>
        <v>49.25925925925926</v>
      </c>
    </row>
    <row r="272" spans="1:5" x14ac:dyDescent="0.3">
      <c r="A272">
        <f t="shared" ca="1" si="10"/>
        <v>1</v>
      </c>
      <c r="C272">
        <f ca="1">COUNTIF(A$2:A272,1)</f>
        <v>134</v>
      </c>
      <c r="D272">
        <f ca="1">COUNTIF(A$2:A272,0)</f>
        <v>137</v>
      </c>
      <c r="E272">
        <f t="shared" ca="1" si="11"/>
        <v>49.446494464944649</v>
      </c>
    </row>
    <row r="273" spans="1:5" x14ac:dyDescent="0.3">
      <c r="A273">
        <f t="shared" ca="1" si="10"/>
        <v>0</v>
      </c>
      <c r="C273">
        <f ca="1">COUNTIF(A$2:A273,1)</f>
        <v>134</v>
      </c>
      <c r="D273">
        <f ca="1">COUNTIF(A$2:A273,0)</f>
        <v>138</v>
      </c>
      <c r="E273">
        <f t="shared" ca="1" si="11"/>
        <v>49.264705882352942</v>
      </c>
    </row>
    <row r="274" spans="1:5" x14ac:dyDescent="0.3">
      <c r="A274">
        <f t="shared" ref="A274:A301" ca="1" si="12">ROUND(RAND(),0)</f>
        <v>1</v>
      </c>
      <c r="C274">
        <f ca="1">COUNTIF(A$2:A274,1)</f>
        <v>135</v>
      </c>
      <c r="D274">
        <f ca="1">COUNTIF(A$2:A274,0)</f>
        <v>138</v>
      </c>
      <c r="E274">
        <f t="shared" ca="1" si="11"/>
        <v>49.450549450549453</v>
      </c>
    </row>
    <row r="275" spans="1:5" x14ac:dyDescent="0.3">
      <c r="A275">
        <f t="shared" ca="1" si="12"/>
        <v>0</v>
      </c>
      <c r="C275">
        <f ca="1">COUNTIF(A$2:A275,1)</f>
        <v>135</v>
      </c>
      <c r="D275">
        <f ca="1">COUNTIF(A$2:A275,0)</f>
        <v>139</v>
      </c>
      <c r="E275">
        <f t="shared" ca="1" si="11"/>
        <v>49.270072992700733</v>
      </c>
    </row>
    <row r="276" spans="1:5" x14ac:dyDescent="0.3">
      <c r="A276">
        <f t="shared" ca="1" si="12"/>
        <v>0</v>
      </c>
      <c r="C276">
        <f ca="1">COUNTIF(A$2:A276,1)</f>
        <v>135</v>
      </c>
      <c r="D276">
        <f ca="1">COUNTIF(A$2:A276,0)</f>
        <v>140</v>
      </c>
      <c r="E276">
        <f t="shared" ca="1" si="11"/>
        <v>49.090909090909093</v>
      </c>
    </row>
    <row r="277" spans="1:5" x14ac:dyDescent="0.3">
      <c r="A277">
        <f t="shared" ca="1" si="12"/>
        <v>0</v>
      </c>
      <c r="C277">
        <f ca="1">COUNTIF(A$2:A277,1)</f>
        <v>135</v>
      </c>
      <c r="D277">
        <f ca="1">COUNTIF(A$2:A277,0)</f>
        <v>141</v>
      </c>
      <c r="E277">
        <f t="shared" ca="1" si="11"/>
        <v>48.913043478260867</v>
      </c>
    </row>
    <row r="278" spans="1:5" x14ac:dyDescent="0.3">
      <c r="A278">
        <f t="shared" ca="1" si="12"/>
        <v>1</v>
      </c>
      <c r="C278">
        <f ca="1">COUNTIF(A$2:A278,1)</f>
        <v>136</v>
      </c>
      <c r="D278">
        <f ca="1">COUNTIF(A$2:A278,0)</f>
        <v>141</v>
      </c>
      <c r="E278">
        <f t="shared" ca="1" si="11"/>
        <v>49.097472924187727</v>
      </c>
    </row>
    <row r="279" spans="1:5" x14ac:dyDescent="0.3">
      <c r="A279">
        <f t="shared" ca="1" si="12"/>
        <v>0</v>
      </c>
      <c r="C279">
        <f ca="1">COUNTIF(A$2:A279,1)</f>
        <v>136</v>
      </c>
      <c r="D279">
        <f ca="1">COUNTIF(A$2:A279,0)</f>
        <v>142</v>
      </c>
      <c r="E279">
        <f t="shared" ca="1" si="11"/>
        <v>48.920863309352519</v>
      </c>
    </row>
    <row r="280" spans="1:5" x14ac:dyDescent="0.3">
      <c r="A280">
        <f t="shared" ca="1" si="12"/>
        <v>0</v>
      </c>
      <c r="C280">
        <f ca="1">COUNTIF(A$2:A280,1)</f>
        <v>136</v>
      </c>
      <c r="D280">
        <f ca="1">COUNTIF(A$2:A280,0)</f>
        <v>143</v>
      </c>
      <c r="E280">
        <f t="shared" ca="1" si="11"/>
        <v>48.74551971326165</v>
      </c>
    </row>
    <row r="281" spans="1:5" x14ac:dyDescent="0.3">
      <c r="A281">
        <f t="shared" ca="1" si="12"/>
        <v>0</v>
      </c>
      <c r="C281">
        <f ca="1">COUNTIF(A$2:A281,1)</f>
        <v>136</v>
      </c>
      <c r="D281">
        <f ca="1">COUNTIF(A$2:A281,0)</f>
        <v>144</v>
      </c>
      <c r="E281">
        <f t="shared" ca="1" si="11"/>
        <v>48.571428571428569</v>
      </c>
    </row>
    <row r="282" spans="1:5" x14ac:dyDescent="0.3">
      <c r="A282">
        <f t="shared" ca="1" si="12"/>
        <v>1</v>
      </c>
      <c r="C282">
        <f ca="1">COUNTIF(A$2:A282,1)</f>
        <v>137</v>
      </c>
      <c r="D282">
        <f ca="1">COUNTIF(A$2:A282,0)</f>
        <v>144</v>
      </c>
      <c r="E282">
        <f t="shared" ca="1" si="11"/>
        <v>48.754448398576514</v>
      </c>
    </row>
    <row r="283" spans="1:5" x14ac:dyDescent="0.3">
      <c r="A283">
        <f t="shared" ca="1" si="12"/>
        <v>1</v>
      </c>
      <c r="C283">
        <f ca="1">COUNTIF(A$2:A283,1)</f>
        <v>138</v>
      </c>
      <c r="D283">
        <f ca="1">COUNTIF(A$2:A283,0)</f>
        <v>144</v>
      </c>
      <c r="E283">
        <f t="shared" ca="1" si="11"/>
        <v>48.936170212765958</v>
      </c>
    </row>
    <row r="284" spans="1:5" x14ac:dyDescent="0.3">
      <c r="A284">
        <f t="shared" ca="1" si="12"/>
        <v>1</v>
      </c>
      <c r="C284">
        <f ca="1">COUNTIF(A$2:A284,1)</f>
        <v>139</v>
      </c>
      <c r="D284">
        <f ca="1">COUNTIF(A$2:A284,0)</f>
        <v>144</v>
      </c>
      <c r="E284">
        <f t="shared" ca="1" si="11"/>
        <v>49.116607773851591</v>
      </c>
    </row>
    <row r="285" spans="1:5" x14ac:dyDescent="0.3">
      <c r="A285">
        <f t="shared" ca="1" si="12"/>
        <v>1</v>
      </c>
      <c r="C285">
        <f ca="1">COUNTIF(A$2:A285,1)</f>
        <v>140</v>
      </c>
      <c r="D285">
        <f ca="1">COUNTIF(A$2:A285,0)</f>
        <v>144</v>
      </c>
      <c r="E285">
        <f t="shared" ca="1" si="11"/>
        <v>49.295774647887328</v>
      </c>
    </row>
    <row r="286" spans="1:5" x14ac:dyDescent="0.3">
      <c r="A286">
        <f t="shared" ca="1" si="12"/>
        <v>0</v>
      </c>
      <c r="C286">
        <f ca="1">COUNTIF(A$2:A286,1)</f>
        <v>140</v>
      </c>
      <c r="D286">
        <f ca="1">COUNTIF(A$2:A286,0)</f>
        <v>145</v>
      </c>
      <c r="E286">
        <f t="shared" ca="1" si="11"/>
        <v>49.122807017543856</v>
      </c>
    </row>
    <row r="287" spans="1:5" x14ac:dyDescent="0.3">
      <c r="A287">
        <f t="shared" ca="1" si="12"/>
        <v>0</v>
      </c>
      <c r="C287">
        <f ca="1">COUNTIF(A$2:A287,1)</f>
        <v>140</v>
      </c>
      <c r="D287">
        <f ca="1">COUNTIF(A$2:A287,0)</f>
        <v>146</v>
      </c>
      <c r="E287">
        <f t="shared" ca="1" si="11"/>
        <v>48.951048951048953</v>
      </c>
    </row>
    <row r="288" spans="1:5" x14ac:dyDescent="0.3">
      <c r="A288">
        <f t="shared" ca="1" si="12"/>
        <v>0</v>
      </c>
      <c r="C288">
        <f ca="1">COUNTIF(A$2:A288,1)</f>
        <v>140</v>
      </c>
      <c r="D288">
        <f ca="1">COUNTIF(A$2:A288,0)</f>
        <v>147</v>
      </c>
      <c r="E288">
        <f t="shared" ca="1" si="11"/>
        <v>48.780487804878049</v>
      </c>
    </row>
    <row r="289" spans="1:5" x14ac:dyDescent="0.3">
      <c r="A289">
        <f t="shared" ca="1" si="12"/>
        <v>1</v>
      </c>
      <c r="C289">
        <f ca="1">COUNTIF(A$2:A289,1)</f>
        <v>141</v>
      </c>
      <c r="D289">
        <f ca="1">COUNTIF(A$2:A289,0)</f>
        <v>147</v>
      </c>
      <c r="E289">
        <f t="shared" ca="1" si="11"/>
        <v>48.958333333333329</v>
      </c>
    </row>
    <row r="290" spans="1:5" x14ac:dyDescent="0.3">
      <c r="A290">
        <f t="shared" ca="1" si="12"/>
        <v>0</v>
      </c>
      <c r="C290">
        <f ca="1">COUNTIF(A$2:A290,1)</f>
        <v>141</v>
      </c>
      <c r="D290">
        <f ca="1">COUNTIF(A$2:A290,0)</f>
        <v>148</v>
      </c>
      <c r="E290">
        <f t="shared" ca="1" si="11"/>
        <v>48.788927335640139</v>
      </c>
    </row>
    <row r="291" spans="1:5" x14ac:dyDescent="0.3">
      <c r="A291">
        <f t="shared" ca="1" si="12"/>
        <v>1</v>
      </c>
      <c r="C291">
        <f ca="1">COUNTIF(A$2:A291,1)</f>
        <v>142</v>
      </c>
      <c r="D291">
        <f ca="1">COUNTIF(A$2:A291,0)</f>
        <v>148</v>
      </c>
      <c r="E291">
        <f t="shared" ca="1" si="11"/>
        <v>48.96551724137931</v>
      </c>
    </row>
    <row r="292" spans="1:5" x14ac:dyDescent="0.3">
      <c r="A292">
        <f t="shared" ca="1" si="12"/>
        <v>1</v>
      </c>
      <c r="C292">
        <f ca="1">COUNTIF(A$2:A292,1)</f>
        <v>143</v>
      </c>
      <c r="D292">
        <f ca="1">COUNTIF(A$2:A292,0)</f>
        <v>148</v>
      </c>
      <c r="E292">
        <f t="shared" ca="1" si="11"/>
        <v>49.140893470790374</v>
      </c>
    </row>
    <row r="293" spans="1:5" x14ac:dyDescent="0.3">
      <c r="A293">
        <f t="shared" ca="1" si="12"/>
        <v>1</v>
      </c>
      <c r="C293">
        <f ca="1">COUNTIF(A$2:A293,1)</f>
        <v>144</v>
      </c>
      <c r="D293">
        <f ca="1">COUNTIF(A$2:A293,0)</f>
        <v>148</v>
      </c>
      <c r="E293">
        <f t="shared" ca="1" si="11"/>
        <v>49.315068493150683</v>
      </c>
    </row>
    <row r="294" spans="1:5" x14ac:dyDescent="0.3">
      <c r="A294">
        <f t="shared" ca="1" si="12"/>
        <v>0</v>
      </c>
      <c r="C294">
        <f ca="1">COUNTIF(A$2:A294,1)</f>
        <v>144</v>
      </c>
      <c r="D294">
        <f ca="1">COUNTIF(A$2:A294,0)</f>
        <v>149</v>
      </c>
      <c r="E294">
        <f t="shared" ca="1" si="11"/>
        <v>49.146757679180887</v>
      </c>
    </row>
    <row r="295" spans="1:5" x14ac:dyDescent="0.3">
      <c r="A295">
        <f t="shared" ca="1" si="12"/>
        <v>0</v>
      </c>
      <c r="C295">
        <f ca="1">COUNTIF(A$2:A295,1)</f>
        <v>144</v>
      </c>
      <c r="D295">
        <f ca="1">COUNTIF(A$2:A295,0)</f>
        <v>150</v>
      </c>
      <c r="E295">
        <f t="shared" ca="1" si="11"/>
        <v>48.979591836734691</v>
      </c>
    </row>
    <row r="296" spans="1:5" x14ac:dyDescent="0.3">
      <c r="A296">
        <f t="shared" ca="1" si="12"/>
        <v>0</v>
      </c>
      <c r="C296">
        <f ca="1">COUNTIF(A$2:A296,1)</f>
        <v>144</v>
      </c>
      <c r="D296">
        <f ca="1">COUNTIF(A$2:A296,0)</f>
        <v>151</v>
      </c>
      <c r="E296">
        <f t="shared" ca="1" si="11"/>
        <v>48.813559322033903</v>
      </c>
    </row>
    <row r="297" spans="1:5" x14ac:dyDescent="0.3">
      <c r="A297">
        <f t="shared" ca="1" si="12"/>
        <v>0</v>
      </c>
      <c r="C297">
        <f ca="1">COUNTIF(A$2:A297,1)</f>
        <v>144</v>
      </c>
      <c r="D297">
        <f ca="1">COUNTIF(A$2:A297,0)</f>
        <v>152</v>
      </c>
      <c r="E297">
        <f t="shared" ca="1" si="11"/>
        <v>48.648648648648653</v>
      </c>
    </row>
    <row r="298" spans="1:5" x14ac:dyDescent="0.3">
      <c r="A298">
        <f t="shared" ca="1" si="12"/>
        <v>1</v>
      </c>
      <c r="C298">
        <f ca="1">COUNTIF(A$2:A298,1)</f>
        <v>145</v>
      </c>
      <c r="D298">
        <f ca="1">COUNTIF(A$2:A298,0)</f>
        <v>152</v>
      </c>
      <c r="E298">
        <f t="shared" ca="1" si="11"/>
        <v>48.821548821548824</v>
      </c>
    </row>
    <row r="299" spans="1:5" x14ac:dyDescent="0.3">
      <c r="A299">
        <f t="shared" ca="1" si="12"/>
        <v>1</v>
      </c>
      <c r="C299">
        <f ca="1">COUNTIF(A$2:A299,1)</f>
        <v>146</v>
      </c>
      <c r="D299">
        <f ca="1">COUNTIF(A$2:A299,0)</f>
        <v>152</v>
      </c>
      <c r="E299">
        <f t="shared" ca="1" si="11"/>
        <v>48.993288590604031</v>
      </c>
    </row>
    <row r="300" spans="1:5" x14ac:dyDescent="0.3">
      <c r="A300">
        <f t="shared" ca="1" si="12"/>
        <v>0</v>
      </c>
      <c r="C300">
        <f ca="1">COUNTIF(A$2:A300,1)</f>
        <v>146</v>
      </c>
      <c r="D300">
        <f ca="1">COUNTIF(A$2:A300,0)</f>
        <v>153</v>
      </c>
      <c r="E300">
        <f t="shared" ca="1" si="11"/>
        <v>48.829431438127088</v>
      </c>
    </row>
    <row r="301" spans="1:5" x14ac:dyDescent="0.3">
      <c r="A301">
        <f t="shared" ca="1" si="12"/>
        <v>0</v>
      </c>
      <c r="C301">
        <f ca="1">COUNTIF(A$2:A301,1)</f>
        <v>146</v>
      </c>
      <c r="D301">
        <f ca="1">COUNTIF(A$2:A301,0)</f>
        <v>154</v>
      </c>
      <c r="E301">
        <f t="shared" ca="1" si="11"/>
        <v>48.666666666666671</v>
      </c>
    </row>
    <row r="302" spans="1:5" x14ac:dyDescent="0.3">
      <c r="A302">
        <f ca="1">ROUND(RAND(),0)</f>
        <v>0</v>
      </c>
      <c r="C302">
        <f ca="1">COUNTIF(A$2:A302,1)</f>
        <v>146</v>
      </c>
      <c r="D302">
        <f ca="1">COUNTIF(A$2:A302,0)</f>
        <v>155</v>
      </c>
      <c r="E302">
        <f t="shared" ca="1" si="11"/>
        <v>48.504983388704318</v>
      </c>
    </row>
    <row r="303" spans="1:5" x14ac:dyDescent="0.3">
      <c r="A303">
        <f ca="1">ROUND(RAND(),0)</f>
        <v>0</v>
      </c>
      <c r="C303">
        <f ca="1">COUNTIF(A$2:A303,1)</f>
        <v>146</v>
      </c>
      <c r="D303">
        <f ca="1">COUNTIF(A$2:A303,0)</f>
        <v>156</v>
      </c>
      <c r="E303">
        <f t="shared" ca="1" si="11"/>
        <v>48.344370860927157</v>
      </c>
    </row>
    <row r="304" spans="1:5" x14ac:dyDescent="0.3">
      <c r="A304">
        <f ca="1">ROUND(RAND(),0)</f>
        <v>0</v>
      </c>
      <c r="C304">
        <f ca="1">COUNTIF(A$2:A304,1)</f>
        <v>146</v>
      </c>
      <c r="D304">
        <f ca="1">COUNTIF(A$2:A304,0)</f>
        <v>157</v>
      </c>
      <c r="E304">
        <f t="shared" ca="1" si="11"/>
        <v>48.184818481848183</v>
      </c>
    </row>
    <row r="305" spans="1:5" x14ac:dyDescent="0.3">
      <c r="A305">
        <f ca="1">ROUND(RAND(),0)</f>
        <v>0</v>
      </c>
      <c r="C305">
        <f ca="1">COUNTIF(A$2:A305,1)</f>
        <v>146</v>
      </c>
      <c r="D305">
        <f ca="1">COUNTIF(A$2:A305,0)</f>
        <v>158</v>
      </c>
      <c r="E305">
        <f t="shared" ca="1" si="11"/>
        <v>48.026315789473685</v>
      </c>
    </row>
    <row r="306" spans="1:5" x14ac:dyDescent="0.3">
      <c r="A306">
        <f ca="1">ROUND(RAND(),0)</f>
        <v>1</v>
      </c>
      <c r="C306">
        <f ca="1">COUNTIF(A$2:A306,1)</f>
        <v>147</v>
      </c>
      <c r="D306">
        <f ca="1">COUNTIF(A$2:A306,0)</f>
        <v>158</v>
      </c>
      <c r="E306">
        <f t="shared" ca="1" si="11"/>
        <v>48.196721311475407</v>
      </c>
    </row>
    <row r="307" spans="1:5" x14ac:dyDescent="0.3">
      <c r="A307">
        <f t="shared" ref="A307:A373" ca="1" si="13">ROUND(RAND(),0)</f>
        <v>1</v>
      </c>
      <c r="C307">
        <f ca="1">COUNTIF(A$2:A307,1)</f>
        <v>148</v>
      </c>
      <c r="D307">
        <f ca="1">COUNTIF(A$2:A307,0)</f>
        <v>158</v>
      </c>
      <c r="E307">
        <f t="shared" ca="1" si="11"/>
        <v>48.366013071895424</v>
      </c>
    </row>
    <row r="308" spans="1:5" x14ac:dyDescent="0.3">
      <c r="A308">
        <f t="shared" ca="1" si="13"/>
        <v>0</v>
      </c>
      <c r="C308">
        <f ca="1">COUNTIF(A$2:A308,1)</f>
        <v>148</v>
      </c>
      <c r="D308">
        <f ca="1">COUNTIF(A$2:A308,0)</f>
        <v>159</v>
      </c>
      <c r="E308">
        <f t="shared" ca="1" si="11"/>
        <v>48.208469055374593</v>
      </c>
    </row>
    <row r="309" spans="1:5" x14ac:dyDescent="0.3">
      <c r="A309">
        <f t="shared" ca="1" si="13"/>
        <v>1</v>
      </c>
      <c r="C309">
        <f ca="1">COUNTIF(A$2:A309,1)</f>
        <v>149</v>
      </c>
      <c r="D309">
        <f ca="1">COUNTIF(A$2:A309,0)</f>
        <v>159</v>
      </c>
      <c r="E309">
        <f t="shared" ca="1" si="11"/>
        <v>48.376623376623378</v>
      </c>
    </row>
    <row r="310" spans="1:5" x14ac:dyDescent="0.3">
      <c r="A310">
        <f t="shared" ca="1" si="13"/>
        <v>0</v>
      </c>
      <c r="C310">
        <f ca="1">COUNTIF(A$2:A310,1)</f>
        <v>149</v>
      </c>
      <c r="D310">
        <f ca="1">COUNTIF(A$2:A310,0)</f>
        <v>160</v>
      </c>
      <c r="E310">
        <f t="shared" ca="1" si="11"/>
        <v>48.220064724919091</v>
      </c>
    </row>
    <row r="311" spans="1:5" x14ac:dyDescent="0.3">
      <c r="A311">
        <f t="shared" ca="1" si="13"/>
        <v>0</v>
      </c>
      <c r="C311">
        <f ca="1">COUNTIF(A$2:A311,1)</f>
        <v>149</v>
      </c>
      <c r="D311">
        <f ca="1">COUNTIF(A$2:A311,0)</f>
        <v>161</v>
      </c>
      <c r="E311">
        <f t="shared" ca="1" si="11"/>
        <v>48.064516129032256</v>
      </c>
    </row>
    <row r="312" spans="1:5" x14ac:dyDescent="0.3">
      <c r="A312">
        <f t="shared" ca="1" si="13"/>
        <v>0</v>
      </c>
      <c r="C312">
        <f ca="1">COUNTIF(A$2:A312,1)</f>
        <v>149</v>
      </c>
      <c r="D312">
        <f ca="1">COUNTIF(A$2:A312,0)</f>
        <v>162</v>
      </c>
      <c r="E312">
        <f t="shared" ca="1" si="11"/>
        <v>47.90996784565916</v>
      </c>
    </row>
    <row r="313" spans="1:5" x14ac:dyDescent="0.3">
      <c r="A313">
        <f t="shared" ca="1" si="13"/>
        <v>0</v>
      </c>
      <c r="C313">
        <f ca="1">COUNTIF(A$2:A313,1)</f>
        <v>149</v>
      </c>
      <c r="D313">
        <f ca="1">COUNTIF(A$2:A313,0)</f>
        <v>163</v>
      </c>
      <c r="E313">
        <f t="shared" ca="1" si="11"/>
        <v>47.756410256410255</v>
      </c>
    </row>
    <row r="314" spans="1:5" x14ac:dyDescent="0.3">
      <c r="A314">
        <f t="shared" ca="1" si="13"/>
        <v>1</v>
      </c>
      <c r="C314">
        <f ca="1">COUNTIF(A$2:A314,1)</f>
        <v>150</v>
      </c>
      <c r="D314">
        <f ca="1">COUNTIF(A$2:A314,0)</f>
        <v>163</v>
      </c>
      <c r="E314">
        <f t="shared" ca="1" si="11"/>
        <v>47.923322683706068</v>
      </c>
    </row>
    <row r="315" spans="1:5" x14ac:dyDescent="0.3">
      <c r="A315">
        <f t="shared" ca="1" si="13"/>
        <v>1</v>
      </c>
      <c r="C315">
        <f ca="1">COUNTIF(A$2:A315,1)</f>
        <v>151</v>
      </c>
      <c r="D315">
        <f ca="1">COUNTIF(A$2:A315,0)</f>
        <v>163</v>
      </c>
      <c r="E315">
        <f t="shared" ca="1" si="11"/>
        <v>48.089171974522294</v>
      </c>
    </row>
    <row r="316" spans="1:5" x14ac:dyDescent="0.3">
      <c r="A316">
        <f t="shared" ca="1" si="13"/>
        <v>0</v>
      </c>
      <c r="C316">
        <f ca="1">COUNTIF(A$2:A316,1)</f>
        <v>151</v>
      </c>
      <c r="D316">
        <f ca="1">COUNTIF(A$2:A316,0)</f>
        <v>164</v>
      </c>
      <c r="E316">
        <f t="shared" ca="1" si="11"/>
        <v>47.936507936507937</v>
      </c>
    </row>
    <row r="317" spans="1:5" x14ac:dyDescent="0.3">
      <c r="A317">
        <f t="shared" ca="1" si="13"/>
        <v>0</v>
      </c>
      <c r="C317">
        <f ca="1">COUNTIF(A$2:A317,1)</f>
        <v>151</v>
      </c>
      <c r="D317">
        <f ca="1">COUNTIF(A$2:A317,0)</f>
        <v>165</v>
      </c>
      <c r="E317">
        <f t="shared" ca="1" si="11"/>
        <v>47.784810126582279</v>
      </c>
    </row>
    <row r="318" spans="1:5" x14ac:dyDescent="0.3">
      <c r="A318">
        <f t="shared" ca="1" si="13"/>
        <v>0</v>
      </c>
      <c r="C318">
        <f ca="1">COUNTIF(A$2:A318,1)</f>
        <v>151</v>
      </c>
      <c r="D318">
        <f ca="1">COUNTIF(A$2:A318,0)</f>
        <v>166</v>
      </c>
      <c r="E318">
        <f t="shared" ca="1" si="11"/>
        <v>47.634069400630914</v>
      </c>
    </row>
    <row r="319" spans="1:5" x14ac:dyDescent="0.3">
      <c r="A319">
        <f t="shared" ca="1" si="13"/>
        <v>1</v>
      </c>
      <c r="C319">
        <f ca="1">COUNTIF(A$2:A319,1)</f>
        <v>152</v>
      </c>
      <c r="D319">
        <f ca="1">COUNTIF(A$2:A319,0)</f>
        <v>166</v>
      </c>
      <c r="E319">
        <f t="shared" ca="1" si="11"/>
        <v>47.79874213836478</v>
      </c>
    </row>
    <row r="320" spans="1:5" x14ac:dyDescent="0.3">
      <c r="A320">
        <f t="shared" ca="1" si="13"/>
        <v>0</v>
      </c>
      <c r="C320">
        <f ca="1">COUNTIF(A$2:A320,1)</f>
        <v>152</v>
      </c>
      <c r="D320">
        <f ca="1">COUNTIF(A$2:A320,0)</f>
        <v>167</v>
      </c>
      <c r="E320">
        <f t="shared" ca="1" si="11"/>
        <v>47.648902821316611</v>
      </c>
    </row>
    <row r="321" spans="1:5" x14ac:dyDescent="0.3">
      <c r="A321">
        <f t="shared" ca="1" si="13"/>
        <v>1</v>
      </c>
      <c r="C321">
        <f ca="1">COUNTIF(A$2:A321,1)</f>
        <v>153</v>
      </c>
      <c r="D321">
        <f ca="1">COUNTIF(A$2:A321,0)</f>
        <v>167</v>
      </c>
      <c r="E321">
        <f t="shared" ca="1" si="11"/>
        <v>47.8125</v>
      </c>
    </row>
    <row r="322" spans="1:5" x14ac:dyDescent="0.3">
      <c r="A322">
        <f t="shared" ca="1" si="13"/>
        <v>1</v>
      </c>
      <c r="C322">
        <f ca="1">COUNTIF(A$2:A322,1)</f>
        <v>154</v>
      </c>
      <c r="D322">
        <f ca="1">COUNTIF(A$2:A322,0)</f>
        <v>167</v>
      </c>
      <c r="E322">
        <f t="shared" ca="1" si="11"/>
        <v>47.975077881619939</v>
      </c>
    </row>
    <row r="323" spans="1:5" x14ac:dyDescent="0.3">
      <c r="A323">
        <f t="shared" ca="1" si="13"/>
        <v>0</v>
      </c>
      <c r="C323">
        <f ca="1">COUNTIF(A$2:A323,1)</f>
        <v>154</v>
      </c>
      <c r="D323">
        <f ca="1">COUNTIF(A$2:A323,0)</f>
        <v>168</v>
      </c>
      <c r="E323">
        <f t="shared" ref="E323:E386" ca="1" si="14">C323/(C323+D323)*100</f>
        <v>47.826086956521742</v>
      </c>
    </row>
    <row r="324" spans="1:5" x14ac:dyDescent="0.3">
      <c r="A324">
        <f t="shared" ca="1" si="13"/>
        <v>1</v>
      </c>
      <c r="C324">
        <f ca="1">COUNTIF(A$2:A324,1)</f>
        <v>155</v>
      </c>
      <c r="D324">
        <f ca="1">COUNTIF(A$2:A324,0)</f>
        <v>168</v>
      </c>
      <c r="E324">
        <f t="shared" ca="1" si="14"/>
        <v>47.987616099071204</v>
      </c>
    </row>
    <row r="325" spans="1:5" x14ac:dyDescent="0.3">
      <c r="A325">
        <f t="shared" ca="1" si="13"/>
        <v>0</v>
      </c>
      <c r="C325">
        <f ca="1">COUNTIF(A$2:A325,1)</f>
        <v>155</v>
      </c>
      <c r="D325">
        <f ca="1">COUNTIF(A$2:A325,0)</f>
        <v>169</v>
      </c>
      <c r="E325">
        <f t="shared" ca="1" si="14"/>
        <v>47.839506172839506</v>
      </c>
    </row>
    <row r="326" spans="1:5" x14ac:dyDescent="0.3">
      <c r="A326">
        <f t="shared" ca="1" si="13"/>
        <v>1</v>
      </c>
      <c r="C326">
        <f ca="1">COUNTIF(A$2:A326,1)</f>
        <v>156</v>
      </c>
      <c r="D326">
        <f ca="1">COUNTIF(A$2:A326,0)</f>
        <v>169</v>
      </c>
      <c r="E326">
        <f t="shared" ca="1" si="14"/>
        <v>48</v>
      </c>
    </row>
    <row r="327" spans="1:5" x14ac:dyDescent="0.3">
      <c r="A327">
        <f t="shared" ca="1" si="13"/>
        <v>1</v>
      </c>
      <c r="C327">
        <f ca="1">COUNTIF(A$2:A327,1)</f>
        <v>157</v>
      </c>
      <c r="D327">
        <f ca="1">COUNTIF(A$2:A327,0)</f>
        <v>169</v>
      </c>
      <c r="E327">
        <f t="shared" ca="1" si="14"/>
        <v>48.159509202453989</v>
      </c>
    </row>
    <row r="328" spans="1:5" x14ac:dyDescent="0.3">
      <c r="A328">
        <f t="shared" ca="1" si="13"/>
        <v>0</v>
      </c>
      <c r="C328">
        <f ca="1">COUNTIF(A$2:A328,1)</f>
        <v>157</v>
      </c>
      <c r="D328">
        <f ca="1">COUNTIF(A$2:A328,0)</f>
        <v>170</v>
      </c>
      <c r="E328">
        <f t="shared" ca="1" si="14"/>
        <v>48.01223241590214</v>
      </c>
    </row>
    <row r="329" spans="1:5" x14ac:dyDescent="0.3">
      <c r="A329">
        <f t="shared" ca="1" si="13"/>
        <v>1</v>
      </c>
      <c r="C329">
        <f ca="1">COUNTIF(A$2:A329,1)</f>
        <v>158</v>
      </c>
      <c r="D329">
        <f ca="1">COUNTIF(A$2:A329,0)</f>
        <v>170</v>
      </c>
      <c r="E329">
        <f t="shared" ca="1" si="14"/>
        <v>48.170731707317074</v>
      </c>
    </row>
    <row r="330" spans="1:5" x14ac:dyDescent="0.3">
      <c r="A330">
        <f t="shared" ca="1" si="13"/>
        <v>1</v>
      </c>
      <c r="C330">
        <f ca="1">COUNTIF(A$2:A330,1)</f>
        <v>159</v>
      </c>
      <c r="D330">
        <f ca="1">COUNTIF(A$2:A330,0)</f>
        <v>170</v>
      </c>
      <c r="E330">
        <f t="shared" ca="1" si="14"/>
        <v>48.328267477203646</v>
      </c>
    </row>
    <row r="331" spans="1:5" x14ac:dyDescent="0.3">
      <c r="A331">
        <f t="shared" ca="1" si="13"/>
        <v>1</v>
      </c>
      <c r="C331">
        <f ca="1">COUNTIF(A$2:A331,1)</f>
        <v>160</v>
      </c>
      <c r="D331">
        <f ca="1">COUNTIF(A$2:A331,0)</f>
        <v>170</v>
      </c>
      <c r="E331">
        <f t="shared" ca="1" si="14"/>
        <v>48.484848484848484</v>
      </c>
    </row>
    <row r="332" spans="1:5" x14ac:dyDescent="0.3">
      <c r="A332">
        <f t="shared" ca="1" si="13"/>
        <v>0</v>
      </c>
      <c r="C332">
        <f ca="1">COUNTIF(A$2:A332,1)</f>
        <v>160</v>
      </c>
      <c r="D332">
        <f ca="1">COUNTIF(A$2:A332,0)</f>
        <v>171</v>
      </c>
      <c r="E332">
        <f t="shared" ca="1" si="14"/>
        <v>48.338368580060425</v>
      </c>
    </row>
    <row r="333" spans="1:5" x14ac:dyDescent="0.3">
      <c r="A333">
        <f t="shared" ca="1" si="13"/>
        <v>0</v>
      </c>
      <c r="C333">
        <f ca="1">COUNTIF(A$2:A333,1)</f>
        <v>160</v>
      </c>
      <c r="D333">
        <f ca="1">COUNTIF(A$2:A333,0)</f>
        <v>172</v>
      </c>
      <c r="E333">
        <f t="shared" ca="1" si="14"/>
        <v>48.192771084337352</v>
      </c>
    </row>
    <row r="334" spans="1:5" x14ac:dyDescent="0.3">
      <c r="A334">
        <f t="shared" ca="1" si="13"/>
        <v>1</v>
      </c>
      <c r="C334">
        <f ca="1">COUNTIF(A$2:A334,1)</f>
        <v>161</v>
      </c>
      <c r="D334">
        <f ca="1">COUNTIF(A$2:A334,0)</f>
        <v>172</v>
      </c>
      <c r="E334">
        <f t="shared" ca="1" si="14"/>
        <v>48.348348348348345</v>
      </c>
    </row>
    <row r="335" spans="1:5" x14ac:dyDescent="0.3">
      <c r="A335">
        <f t="shared" ca="1" si="13"/>
        <v>0</v>
      </c>
      <c r="C335">
        <f ca="1">COUNTIF(A$2:A335,1)</f>
        <v>161</v>
      </c>
      <c r="D335">
        <f ca="1">COUNTIF(A$2:A335,0)</f>
        <v>173</v>
      </c>
      <c r="E335">
        <f t="shared" ca="1" si="14"/>
        <v>48.203592814371262</v>
      </c>
    </row>
    <row r="336" spans="1:5" x14ac:dyDescent="0.3">
      <c r="A336">
        <f t="shared" ca="1" si="13"/>
        <v>1</v>
      </c>
      <c r="C336">
        <f ca="1">COUNTIF(A$2:A336,1)</f>
        <v>162</v>
      </c>
      <c r="D336">
        <f ca="1">COUNTIF(A$2:A336,0)</f>
        <v>173</v>
      </c>
      <c r="E336">
        <f t="shared" ca="1" si="14"/>
        <v>48.35820895522388</v>
      </c>
    </row>
    <row r="337" spans="1:5" x14ac:dyDescent="0.3">
      <c r="A337">
        <f t="shared" ca="1" si="13"/>
        <v>1</v>
      </c>
      <c r="C337">
        <f ca="1">COUNTIF(A$2:A337,1)</f>
        <v>163</v>
      </c>
      <c r="D337">
        <f ca="1">COUNTIF(A$2:A337,0)</f>
        <v>173</v>
      </c>
      <c r="E337">
        <f t="shared" ca="1" si="14"/>
        <v>48.511904761904759</v>
      </c>
    </row>
    <row r="338" spans="1:5" x14ac:dyDescent="0.3">
      <c r="A338">
        <f t="shared" ca="1" si="13"/>
        <v>1</v>
      </c>
      <c r="C338">
        <f ca="1">COUNTIF(A$2:A338,1)</f>
        <v>164</v>
      </c>
      <c r="D338">
        <f ca="1">COUNTIF(A$2:A338,0)</f>
        <v>173</v>
      </c>
      <c r="E338">
        <f t="shared" ca="1" si="14"/>
        <v>48.664688427299701</v>
      </c>
    </row>
    <row r="339" spans="1:5" x14ac:dyDescent="0.3">
      <c r="A339">
        <f t="shared" ca="1" si="13"/>
        <v>0</v>
      </c>
      <c r="C339">
        <f ca="1">COUNTIF(A$2:A339,1)</f>
        <v>164</v>
      </c>
      <c r="D339">
        <f ca="1">COUNTIF(A$2:A339,0)</f>
        <v>174</v>
      </c>
      <c r="E339">
        <f t="shared" ca="1" si="14"/>
        <v>48.520710059171599</v>
      </c>
    </row>
    <row r="340" spans="1:5" x14ac:dyDescent="0.3">
      <c r="A340">
        <f t="shared" ca="1" si="13"/>
        <v>0</v>
      </c>
      <c r="C340">
        <f ca="1">COUNTIF(A$2:A340,1)</f>
        <v>164</v>
      </c>
      <c r="D340">
        <f ca="1">COUNTIF(A$2:A340,0)</f>
        <v>175</v>
      </c>
      <c r="E340">
        <f t="shared" ca="1" si="14"/>
        <v>48.377581120943951</v>
      </c>
    </row>
    <row r="341" spans="1:5" x14ac:dyDescent="0.3">
      <c r="A341">
        <f t="shared" ca="1" si="13"/>
        <v>1</v>
      </c>
      <c r="C341">
        <f ca="1">COUNTIF(A$2:A341,1)</f>
        <v>165</v>
      </c>
      <c r="D341">
        <f ca="1">COUNTIF(A$2:A341,0)</f>
        <v>175</v>
      </c>
      <c r="E341">
        <f t="shared" ca="1" si="14"/>
        <v>48.529411764705884</v>
      </c>
    </row>
    <row r="342" spans="1:5" x14ac:dyDescent="0.3">
      <c r="A342">
        <f t="shared" ca="1" si="13"/>
        <v>1</v>
      </c>
      <c r="C342">
        <f ca="1">COUNTIF(A$2:A342,1)</f>
        <v>166</v>
      </c>
      <c r="D342">
        <f ca="1">COUNTIF(A$2:A342,0)</f>
        <v>175</v>
      </c>
      <c r="E342">
        <f t="shared" ca="1" si="14"/>
        <v>48.680351906158357</v>
      </c>
    </row>
    <row r="343" spans="1:5" x14ac:dyDescent="0.3">
      <c r="A343">
        <f t="shared" ca="1" si="13"/>
        <v>0</v>
      </c>
      <c r="C343">
        <f ca="1">COUNTIF(A$2:A343,1)</f>
        <v>166</v>
      </c>
      <c r="D343">
        <f ca="1">COUNTIF(A$2:A343,0)</f>
        <v>176</v>
      </c>
      <c r="E343">
        <f t="shared" ca="1" si="14"/>
        <v>48.538011695906427</v>
      </c>
    </row>
    <row r="344" spans="1:5" x14ac:dyDescent="0.3">
      <c r="A344">
        <f t="shared" ca="1" si="13"/>
        <v>1</v>
      </c>
      <c r="C344">
        <f ca="1">COUNTIF(A$2:A344,1)</f>
        <v>167</v>
      </c>
      <c r="D344">
        <f ca="1">COUNTIF(A$2:A344,0)</f>
        <v>176</v>
      </c>
      <c r="E344">
        <f t="shared" ca="1" si="14"/>
        <v>48.688046647230323</v>
      </c>
    </row>
    <row r="345" spans="1:5" x14ac:dyDescent="0.3">
      <c r="A345">
        <f t="shared" ca="1" si="13"/>
        <v>1</v>
      </c>
      <c r="C345">
        <f ca="1">COUNTIF(A$2:A345,1)</f>
        <v>168</v>
      </c>
      <c r="D345">
        <f ca="1">COUNTIF(A$2:A345,0)</f>
        <v>176</v>
      </c>
      <c r="E345">
        <f t="shared" ca="1" si="14"/>
        <v>48.837209302325576</v>
      </c>
    </row>
    <row r="346" spans="1:5" x14ac:dyDescent="0.3">
      <c r="A346">
        <f t="shared" ca="1" si="13"/>
        <v>0</v>
      </c>
      <c r="C346">
        <f ca="1">COUNTIF(A$2:A346,1)</f>
        <v>168</v>
      </c>
      <c r="D346">
        <f ca="1">COUNTIF(A$2:A346,0)</f>
        <v>177</v>
      </c>
      <c r="E346">
        <f t="shared" ca="1" si="14"/>
        <v>48.695652173913047</v>
      </c>
    </row>
    <row r="347" spans="1:5" x14ac:dyDescent="0.3">
      <c r="A347">
        <f t="shared" ca="1" si="13"/>
        <v>1</v>
      </c>
      <c r="C347">
        <f ca="1">COUNTIF(A$2:A347,1)</f>
        <v>169</v>
      </c>
      <c r="D347">
        <f ca="1">COUNTIF(A$2:A347,0)</f>
        <v>177</v>
      </c>
      <c r="E347">
        <f t="shared" ca="1" si="14"/>
        <v>48.843930635838149</v>
      </c>
    </row>
    <row r="348" spans="1:5" x14ac:dyDescent="0.3">
      <c r="A348">
        <f t="shared" ca="1" si="13"/>
        <v>0</v>
      </c>
      <c r="C348">
        <f ca="1">COUNTIF(A$2:A348,1)</f>
        <v>169</v>
      </c>
      <c r="D348">
        <f ca="1">COUNTIF(A$2:A348,0)</f>
        <v>178</v>
      </c>
      <c r="E348">
        <f t="shared" ca="1" si="14"/>
        <v>48.703170028818441</v>
      </c>
    </row>
    <row r="349" spans="1:5" x14ac:dyDescent="0.3">
      <c r="A349">
        <f t="shared" ca="1" si="13"/>
        <v>0</v>
      </c>
      <c r="C349">
        <f ca="1">COUNTIF(A$2:A349,1)</f>
        <v>169</v>
      </c>
      <c r="D349">
        <f ca="1">COUNTIF(A$2:A349,0)</f>
        <v>179</v>
      </c>
      <c r="E349">
        <f t="shared" ca="1" si="14"/>
        <v>48.563218390804593</v>
      </c>
    </row>
    <row r="350" spans="1:5" x14ac:dyDescent="0.3">
      <c r="A350">
        <f t="shared" ca="1" si="13"/>
        <v>0</v>
      </c>
      <c r="C350">
        <f ca="1">COUNTIF(A$2:A350,1)</f>
        <v>169</v>
      </c>
      <c r="D350">
        <f ca="1">COUNTIF(A$2:A350,0)</f>
        <v>180</v>
      </c>
      <c r="E350">
        <f t="shared" ca="1" si="14"/>
        <v>48.424068767908309</v>
      </c>
    </row>
    <row r="351" spans="1:5" x14ac:dyDescent="0.3">
      <c r="A351">
        <f t="shared" ca="1" si="13"/>
        <v>1</v>
      </c>
      <c r="C351">
        <f ca="1">COUNTIF(A$2:A351,1)</f>
        <v>170</v>
      </c>
      <c r="D351">
        <f ca="1">COUNTIF(A$2:A351,0)</f>
        <v>180</v>
      </c>
      <c r="E351">
        <f t="shared" ca="1" si="14"/>
        <v>48.571428571428569</v>
      </c>
    </row>
    <row r="352" spans="1:5" x14ac:dyDescent="0.3">
      <c r="A352">
        <f t="shared" ca="1" si="13"/>
        <v>0</v>
      </c>
      <c r="C352">
        <f ca="1">COUNTIF(A$2:A352,1)</f>
        <v>170</v>
      </c>
      <c r="D352">
        <f ca="1">COUNTIF(A$2:A352,0)</f>
        <v>181</v>
      </c>
      <c r="E352">
        <f t="shared" ca="1" si="14"/>
        <v>48.433048433048434</v>
      </c>
    </row>
    <row r="353" spans="1:5" x14ac:dyDescent="0.3">
      <c r="A353">
        <f t="shared" ca="1" si="13"/>
        <v>1</v>
      </c>
      <c r="C353">
        <f ca="1">COUNTIF(A$2:A353,1)</f>
        <v>171</v>
      </c>
      <c r="D353">
        <f ca="1">COUNTIF(A$2:A353,0)</f>
        <v>181</v>
      </c>
      <c r="E353">
        <f t="shared" ca="1" si="14"/>
        <v>48.579545454545453</v>
      </c>
    </row>
    <row r="354" spans="1:5" x14ac:dyDescent="0.3">
      <c r="A354">
        <f t="shared" ca="1" si="13"/>
        <v>1</v>
      </c>
      <c r="C354">
        <f ca="1">COUNTIF(A$2:A354,1)</f>
        <v>172</v>
      </c>
      <c r="D354">
        <f ca="1">COUNTIF(A$2:A354,0)</f>
        <v>181</v>
      </c>
      <c r="E354">
        <f t="shared" ca="1" si="14"/>
        <v>48.725212464589234</v>
      </c>
    </row>
    <row r="355" spans="1:5" x14ac:dyDescent="0.3">
      <c r="A355">
        <f t="shared" ca="1" si="13"/>
        <v>0</v>
      </c>
      <c r="C355">
        <f ca="1">COUNTIF(A$2:A355,1)</f>
        <v>172</v>
      </c>
      <c r="D355">
        <f ca="1">COUNTIF(A$2:A355,0)</f>
        <v>182</v>
      </c>
      <c r="E355">
        <f t="shared" ca="1" si="14"/>
        <v>48.587570621468927</v>
      </c>
    </row>
    <row r="356" spans="1:5" x14ac:dyDescent="0.3">
      <c r="A356">
        <f t="shared" ca="1" si="13"/>
        <v>0</v>
      </c>
      <c r="C356">
        <f ca="1">COUNTIF(A$2:A356,1)</f>
        <v>172</v>
      </c>
      <c r="D356">
        <f ca="1">COUNTIF(A$2:A356,0)</f>
        <v>183</v>
      </c>
      <c r="E356">
        <f t="shared" ca="1" si="14"/>
        <v>48.450704225352112</v>
      </c>
    </row>
    <row r="357" spans="1:5" x14ac:dyDescent="0.3">
      <c r="A357">
        <f t="shared" ca="1" si="13"/>
        <v>0</v>
      </c>
      <c r="C357">
        <f ca="1">COUNTIF(A$2:A357,1)</f>
        <v>172</v>
      </c>
      <c r="D357">
        <f ca="1">COUNTIF(A$2:A357,0)</f>
        <v>184</v>
      </c>
      <c r="E357">
        <f t="shared" ca="1" si="14"/>
        <v>48.314606741573037</v>
      </c>
    </row>
    <row r="358" spans="1:5" x14ac:dyDescent="0.3">
      <c r="A358">
        <f t="shared" ca="1" si="13"/>
        <v>0</v>
      </c>
      <c r="C358">
        <f ca="1">COUNTIF(A$2:A358,1)</f>
        <v>172</v>
      </c>
      <c r="D358">
        <f ca="1">COUNTIF(A$2:A358,0)</f>
        <v>185</v>
      </c>
      <c r="E358">
        <f t="shared" ca="1" si="14"/>
        <v>48.179271708683473</v>
      </c>
    </row>
    <row r="359" spans="1:5" x14ac:dyDescent="0.3">
      <c r="A359">
        <f t="shared" ca="1" si="13"/>
        <v>1</v>
      </c>
      <c r="C359">
        <f ca="1">COUNTIF(A$2:A359,1)</f>
        <v>173</v>
      </c>
      <c r="D359">
        <f ca="1">COUNTIF(A$2:A359,0)</f>
        <v>185</v>
      </c>
      <c r="E359">
        <f t="shared" ca="1" si="14"/>
        <v>48.324022346368714</v>
      </c>
    </row>
    <row r="360" spans="1:5" x14ac:dyDescent="0.3">
      <c r="A360">
        <f t="shared" ca="1" si="13"/>
        <v>1</v>
      </c>
      <c r="C360">
        <f ca="1">COUNTIF(A$2:A360,1)</f>
        <v>174</v>
      </c>
      <c r="D360">
        <f ca="1">COUNTIF(A$2:A360,0)</f>
        <v>185</v>
      </c>
      <c r="E360">
        <f t="shared" ca="1" si="14"/>
        <v>48.467966573816156</v>
      </c>
    </row>
    <row r="361" spans="1:5" x14ac:dyDescent="0.3">
      <c r="A361">
        <f t="shared" ca="1" si="13"/>
        <v>1</v>
      </c>
      <c r="C361">
        <f ca="1">COUNTIF(A$2:A361,1)</f>
        <v>175</v>
      </c>
      <c r="D361">
        <f ca="1">COUNTIF(A$2:A361,0)</f>
        <v>185</v>
      </c>
      <c r="E361">
        <f t="shared" ca="1" si="14"/>
        <v>48.611111111111107</v>
      </c>
    </row>
    <row r="362" spans="1:5" x14ac:dyDescent="0.3">
      <c r="A362">
        <f t="shared" ca="1" si="13"/>
        <v>1</v>
      </c>
      <c r="C362">
        <f ca="1">COUNTIF(A$2:A362,1)</f>
        <v>176</v>
      </c>
      <c r="D362">
        <f ca="1">COUNTIF(A$2:A362,0)</f>
        <v>185</v>
      </c>
      <c r="E362">
        <f t="shared" ca="1" si="14"/>
        <v>48.75346260387812</v>
      </c>
    </row>
    <row r="363" spans="1:5" x14ac:dyDescent="0.3">
      <c r="A363">
        <f t="shared" ca="1" si="13"/>
        <v>0</v>
      </c>
      <c r="C363">
        <f ca="1">COUNTIF(A$2:A363,1)</f>
        <v>176</v>
      </c>
      <c r="D363">
        <f ca="1">COUNTIF(A$2:A363,0)</f>
        <v>186</v>
      </c>
      <c r="E363">
        <f t="shared" ca="1" si="14"/>
        <v>48.618784530386741</v>
      </c>
    </row>
    <row r="364" spans="1:5" x14ac:dyDescent="0.3">
      <c r="A364">
        <f t="shared" ca="1" si="13"/>
        <v>1</v>
      </c>
      <c r="C364">
        <f ca="1">COUNTIF(A$2:A364,1)</f>
        <v>177</v>
      </c>
      <c r="D364">
        <f ca="1">COUNTIF(A$2:A364,0)</f>
        <v>186</v>
      </c>
      <c r="E364">
        <f t="shared" ca="1" si="14"/>
        <v>48.760330578512395</v>
      </c>
    </row>
    <row r="365" spans="1:5" x14ac:dyDescent="0.3">
      <c r="A365">
        <f t="shared" ca="1" si="13"/>
        <v>1</v>
      </c>
      <c r="C365">
        <f ca="1">COUNTIF(A$2:A365,1)</f>
        <v>178</v>
      </c>
      <c r="D365">
        <f ca="1">COUNTIF(A$2:A365,0)</f>
        <v>186</v>
      </c>
      <c r="E365">
        <f t="shared" ca="1" si="14"/>
        <v>48.901098901098898</v>
      </c>
    </row>
    <row r="366" spans="1:5" x14ac:dyDescent="0.3">
      <c r="A366">
        <f t="shared" ca="1" si="13"/>
        <v>0</v>
      </c>
      <c r="C366">
        <f ca="1">COUNTIF(A$2:A366,1)</f>
        <v>178</v>
      </c>
      <c r="D366">
        <f ca="1">COUNTIF(A$2:A366,0)</f>
        <v>187</v>
      </c>
      <c r="E366">
        <f t="shared" ca="1" si="14"/>
        <v>48.767123287671232</v>
      </c>
    </row>
    <row r="367" spans="1:5" x14ac:dyDescent="0.3">
      <c r="A367">
        <f t="shared" ca="1" si="13"/>
        <v>1</v>
      </c>
      <c r="C367">
        <f ca="1">COUNTIF(A$2:A367,1)</f>
        <v>179</v>
      </c>
      <c r="D367">
        <f ca="1">COUNTIF(A$2:A367,0)</f>
        <v>187</v>
      </c>
      <c r="E367">
        <f t="shared" ca="1" si="14"/>
        <v>48.907103825136609</v>
      </c>
    </row>
    <row r="368" spans="1:5" x14ac:dyDescent="0.3">
      <c r="A368">
        <f t="shared" ca="1" si="13"/>
        <v>0</v>
      </c>
      <c r="C368">
        <f ca="1">COUNTIF(A$2:A368,1)</f>
        <v>179</v>
      </c>
      <c r="D368">
        <f ca="1">COUNTIF(A$2:A368,0)</f>
        <v>188</v>
      </c>
      <c r="E368">
        <f t="shared" ca="1" si="14"/>
        <v>48.77384196185286</v>
      </c>
    </row>
    <row r="369" spans="1:5" x14ac:dyDescent="0.3">
      <c r="A369">
        <f t="shared" ca="1" si="13"/>
        <v>1</v>
      </c>
      <c r="C369">
        <f ca="1">COUNTIF(A$2:A369,1)</f>
        <v>180</v>
      </c>
      <c r="D369">
        <f ca="1">COUNTIF(A$2:A369,0)</f>
        <v>188</v>
      </c>
      <c r="E369">
        <f t="shared" ca="1" si="14"/>
        <v>48.913043478260867</v>
      </c>
    </row>
    <row r="370" spans="1:5" x14ac:dyDescent="0.3">
      <c r="A370">
        <f t="shared" ca="1" si="13"/>
        <v>0</v>
      </c>
      <c r="C370">
        <f ca="1">COUNTIF(A$2:A370,1)</f>
        <v>180</v>
      </c>
      <c r="D370">
        <f ca="1">COUNTIF(A$2:A370,0)</f>
        <v>189</v>
      </c>
      <c r="E370">
        <f t="shared" ca="1" si="14"/>
        <v>48.780487804878049</v>
      </c>
    </row>
    <row r="371" spans="1:5" x14ac:dyDescent="0.3">
      <c r="A371">
        <f t="shared" ca="1" si="13"/>
        <v>1</v>
      </c>
      <c r="C371">
        <f ca="1">COUNTIF(A$2:A371,1)</f>
        <v>181</v>
      </c>
      <c r="D371">
        <f ca="1">COUNTIF(A$2:A371,0)</f>
        <v>189</v>
      </c>
      <c r="E371">
        <f t="shared" ca="1" si="14"/>
        <v>48.918918918918919</v>
      </c>
    </row>
    <row r="372" spans="1:5" x14ac:dyDescent="0.3">
      <c r="A372">
        <f t="shared" ca="1" si="13"/>
        <v>0</v>
      </c>
      <c r="C372">
        <f ca="1">COUNTIF(A$2:A372,1)</f>
        <v>181</v>
      </c>
      <c r="D372">
        <f ca="1">COUNTIF(A$2:A372,0)</f>
        <v>190</v>
      </c>
      <c r="E372">
        <f t="shared" ca="1" si="14"/>
        <v>48.787061994609168</v>
      </c>
    </row>
    <row r="373" spans="1:5" x14ac:dyDescent="0.3">
      <c r="A373">
        <f t="shared" ca="1" si="13"/>
        <v>1</v>
      </c>
      <c r="C373">
        <f ca="1">COUNTIF(A$2:A373,1)</f>
        <v>182</v>
      </c>
      <c r="D373">
        <f ca="1">COUNTIF(A$2:A373,0)</f>
        <v>190</v>
      </c>
      <c r="E373">
        <f t="shared" ca="1" si="14"/>
        <v>48.924731182795696</v>
      </c>
    </row>
    <row r="374" spans="1:5" x14ac:dyDescent="0.3">
      <c r="A374">
        <f t="shared" ref="A374:A401" ca="1" si="15">ROUND(RAND(),0)</f>
        <v>1</v>
      </c>
      <c r="C374">
        <f ca="1">COUNTIF(A$2:A374,1)</f>
        <v>183</v>
      </c>
      <c r="D374">
        <f ca="1">COUNTIF(A$2:A374,0)</f>
        <v>190</v>
      </c>
      <c r="E374">
        <f t="shared" ca="1" si="14"/>
        <v>49.061662198391417</v>
      </c>
    </row>
    <row r="375" spans="1:5" x14ac:dyDescent="0.3">
      <c r="A375">
        <f t="shared" ca="1" si="15"/>
        <v>1</v>
      </c>
      <c r="C375">
        <f ca="1">COUNTIF(A$2:A375,1)</f>
        <v>184</v>
      </c>
      <c r="D375">
        <f ca="1">COUNTIF(A$2:A375,0)</f>
        <v>190</v>
      </c>
      <c r="E375">
        <f t="shared" ca="1" si="14"/>
        <v>49.19786096256685</v>
      </c>
    </row>
    <row r="376" spans="1:5" x14ac:dyDescent="0.3">
      <c r="A376">
        <f t="shared" ca="1" si="15"/>
        <v>1</v>
      </c>
      <c r="C376">
        <f ca="1">COUNTIF(A$2:A376,1)</f>
        <v>185</v>
      </c>
      <c r="D376">
        <f ca="1">COUNTIF(A$2:A376,0)</f>
        <v>190</v>
      </c>
      <c r="E376">
        <f t="shared" ca="1" si="14"/>
        <v>49.333333333333336</v>
      </c>
    </row>
    <row r="377" spans="1:5" x14ac:dyDescent="0.3">
      <c r="A377">
        <f t="shared" ca="1" si="15"/>
        <v>0</v>
      </c>
      <c r="C377">
        <f ca="1">COUNTIF(A$2:A377,1)</f>
        <v>185</v>
      </c>
      <c r="D377">
        <f ca="1">COUNTIF(A$2:A377,0)</f>
        <v>191</v>
      </c>
      <c r="E377">
        <f t="shared" ca="1" si="14"/>
        <v>49.202127659574465</v>
      </c>
    </row>
    <row r="378" spans="1:5" x14ac:dyDescent="0.3">
      <c r="A378">
        <f t="shared" ca="1" si="15"/>
        <v>0</v>
      </c>
      <c r="C378">
        <f ca="1">COUNTIF(A$2:A378,1)</f>
        <v>185</v>
      </c>
      <c r="D378">
        <f ca="1">COUNTIF(A$2:A378,0)</f>
        <v>192</v>
      </c>
      <c r="E378">
        <f t="shared" ca="1" si="14"/>
        <v>49.071618037135281</v>
      </c>
    </row>
    <row r="379" spans="1:5" x14ac:dyDescent="0.3">
      <c r="A379">
        <f t="shared" ca="1" si="15"/>
        <v>0</v>
      </c>
      <c r="C379">
        <f ca="1">COUNTIF(A$2:A379,1)</f>
        <v>185</v>
      </c>
      <c r="D379">
        <f ca="1">COUNTIF(A$2:A379,0)</f>
        <v>193</v>
      </c>
      <c r="E379">
        <f t="shared" ca="1" si="14"/>
        <v>48.941798941798943</v>
      </c>
    </row>
    <row r="380" spans="1:5" x14ac:dyDescent="0.3">
      <c r="A380">
        <f t="shared" ca="1" si="15"/>
        <v>0</v>
      </c>
      <c r="C380">
        <f ca="1">COUNTIF(A$2:A380,1)</f>
        <v>185</v>
      </c>
      <c r="D380">
        <f ca="1">COUNTIF(A$2:A380,0)</f>
        <v>194</v>
      </c>
      <c r="E380">
        <f t="shared" ca="1" si="14"/>
        <v>48.812664907651715</v>
      </c>
    </row>
    <row r="381" spans="1:5" x14ac:dyDescent="0.3">
      <c r="A381">
        <f t="shared" ca="1" si="15"/>
        <v>1</v>
      </c>
      <c r="C381">
        <f ca="1">COUNTIF(A$2:A381,1)</f>
        <v>186</v>
      </c>
      <c r="D381">
        <f ca="1">COUNTIF(A$2:A381,0)</f>
        <v>194</v>
      </c>
      <c r="E381">
        <f t="shared" ca="1" si="14"/>
        <v>48.947368421052637</v>
      </c>
    </row>
    <row r="382" spans="1:5" x14ac:dyDescent="0.3">
      <c r="A382">
        <f t="shared" ca="1" si="15"/>
        <v>1</v>
      </c>
      <c r="C382">
        <f ca="1">COUNTIF(A$2:A382,1)</f>
        <v>187</v>
      </c>
      <c r="D382">
        <f ca="1">COUNTIF(A$2:A382,0)</f>
        <v>194</v>
      </c>
      <c r="E382">
        <f t="shared" ca="1" si="14"/>
        <v>49.081364829396321</v>
      </c>
    </row>
    <row r="383" spans="1:5" x14ac:dyDescent="0.3">
      <c r="A383">
        <f t="shared" ca="1" si="15"/>
        <v>0</v>
      </c>
      <c r="C383">
        <f ca="1">COUNTIF(A$2:A383,1)</f>
        <v>187</v>
      </c>
      <c r="D383">
        <f ca="1">COUNTIF(A$2:A383,0)</f>
        <v>195</v>
      </c>
      <c r="E383">
        <f t="shared" ca="1" si="14"/>
        <v>48.952879581151834</v>
      </c>
    </row>
    <row r="384" spans="1:5" x14ac:dyDescent="0.3">
      <c r="A384">
        <f t="shared" ca="1" si="15"/>
        <v>0</v>
      </c>
      <c r="C384">
        <f ca="1">COUNTIF(A$2:A384,1)</f>
        <v>187</v>
      </c>
      <c r="D384">
        <f ca="1">COUNTIF(A$2:A384,0)</f>
        <v>196</v>
      </c>
      <c r="E384">
        <f t="shared" ca="1" si="14"/>
        <v>48.825065274151434</v>
      </c>
    </row>
    <row r="385" spans="1:5" x14ac:dyDescent="0.3">
      <c r="A385">
        <f t="shared" ca="1" si="15"/>
        <v>1</v>
      </c>
      <c r="C385">
        <f ca="1">COUNTIF(A$2:A385,1)</f>
        <v>188</v>
      </c>
      <c r="D385">
        <f ca="1">COUNTIF(A$2:A385,0)</f>
        <v>196</v>
      </c>
      <c r="E385">
        <f t="shared" ca="1" si="14"/>
        <v>48.958333333333329</v>
      </c>
    </row>
    <row r="386" spans="1:5" x14ac:dyDescent="0.3">
      <c r="A386">
        <f t="shared" ca="1" si="15"/>
        <v>1</v>
      </c>
      <c r="C386">
        <f ca="1">COUNTIF(A$2:A386,1)</f>
        <v>189</v>
      </c>
      <c r="D386">
        <f ca="1">COUNTIF(A$2:A386,0)</f>
        <v>196</v>
      </c>
      <c r="E386">
        <f t="shared" ca="1" si="14"/>
        <v>49.090909090909093</v>
      </c>
    </row>
    <row r="387" spans="1:5" x14ac:dyDescent="0.3">
      <c r="A387">
        <f t="shared" ca="1" si="15"/>
        <v>0</v>
      </c>
      <c r="C387">
        <f ca="1">COUNTIF(A$2:A387,1)</f>
        <v>189</v>
      </c>
      <c r="D387">
        <f ca="1">COUNTIF(A$2:A387,0)</f>
        <v>197</v>
      </c>
      <c r="E387">
        <f t="shared" ref="E387:E417" ca="1" si="16">C387/(C387+D387)*100</f>
        <v>48.96373056994819</v>
      </c>
    </row>
    <row r="388" spans="1:5" x14ac:dyDescent="0.3">
      <c r="A388">
        <f t="shared" ca="1" si="15"/>
        <v>1</v>
      </c>
      <c r="C388">
        <f ca="1">COUNTIF(A$2:A388,1)</f>
        <v>190</v>
      </c>
      <c r="D388">
        <f ca="1">COUNTIF(A$2:A388,0)</f>
        <v>197</v>
      </c>
      <c r="E388">
        <f t="shared" ca="1" si="16"/>
        <v>49.095607235142118</v>
      </c>
    </row>
    <row r="389" spans="1:5" x14ac:dyDescent="0.3">
      <c r="A389">
        <f t="shared" ca="1" si="15"/>
        <v>0</v>
      </c>
      <c r="C389">
        <f ca="1">COUNTIF(A$2:A389,1)</f>
        <v>190</v>
      </c>
      <c r="D389">
        <f ca="1">COUNTIF(A$2:A389,0)</f>
        <v>198</v>
      </c>
      <c r="E389">
        <f t="shared" ca="1" si="16"/>
        <v>48.96907216494845</v>
      </c>
    </row>
    <row r="390" spans="1:5" x14ac:dyDescent="0.3">
      <c r="A390">
        <f t="shared" ca="1" si="15"/>
        <v>0</v>
      </c>
      <c r="C390">
        <f ca="1">COUNTIF(A$2:A390,1)</f>
        <v>190</v>
      </c>
      <c r="D390">
        <f ca="1">COUNTIF(A$2:A390,0)</f>
        <v>199</v>
      </c>
      <c r="E390">
        <f t="shared" ca="1" si="16"/>
        <v>48.843187660668377</v>
      </c>
    </row>
    <row r="391" spans="1:5" x14ac:dyDescent="0.3">
      <c r="A391">
        <f t="shared" ca="1" si="15"/>
        <v>1</v>
      </c>
      <c r="C391">
        <f ca="1">COUNTIF(A$2:A391,1)</f>
        <v>191</v>
      </c>
      <c r="D391">
        <f ca="1">COUNTIF(A$2:A391,0)</f>
        <v>199</v>
      </c>
      <c r="E391">
        <f t="shared" ca="1" si="16"/>
        <v>48.974358974358971</v>
      </c>
    </row>
    <row r="392" spans="1:5" x14ac:dyDescent="0.3">
      <c r="A392">
        <f t="shared" ca="1" si="15"/>
        <v>0</v>
      </c>
      <c r="C392">
        <f ca="1">COUNTIF(A$2:A392,1)</f>
        <v>191</v>
      </c>
      <c r="D392">
        <f ca="1">COUNTIF(A$2:A392,0)</f>
        <v>200</v>
      </c>
      <c r="E392">
        <f t="shared" ca="1" si="16"/>
        <v>48.849104859335043</v>
      </c>
    </row>
    <row r="393" spans="1:5" x14ac:dyDescent="0.3">
      <c r="A393">
        <f t="shared" ca="1" si="15"/>
        <v>1</v>
      </c>
      <c r="C393">
        <f ca="1">COUNTIF(A$2:A393,1)</f>
        <v>192</v>
      </c>
      <c r="D393">
        <f ca="1">COUNTIF(A$2:A393,0)</f>
        <v>200</v>
      </c>
      <c r="E393">
        <f t="shared" ca="1" si="16"/>
        <v>48.979591836734691</v>
      </c>
    </row>
    <row r="394" spans="1:5" x14ac:dyDescent="0.3">
      <c r="A394">
        <f t="shared" ca="1" si="15"/>
        <v>1</v>
      </c>
      <c r="C394">
        <f ca="1">COUNTIF(A$2:A394,1)</f>
        <v>193</v>
      </c>
      <c r="D394">
        <f ca="1">COUNTIF(A$2:A394,0)</f>
        <v>200</v>
      </c>
      <c r="E394">
        <f t="shared" ca="1" si="16"/>
        <v>49.109414758269722</v>
      </c>
    </row>
    <row r="395" spans="1:5" x14ac:dyDescent="0.3">
      <c r="A395">
        <f t="shared" ca="1" si="15"/>
        <v>1</v>
      </c>
      <c r="C395">
        <f ca="1">COUNTIF(A$2:A395,1)</f>
        <v>194</v>
      </c>
      <c r="D395">
        <f ca="1">COUNTIF(A$2:A395,0)</f>
        <v>200</v>
      </c>
      <c r="E395">
        <f t="shared" ca="1" si="16"/>
        <v>49.238578680203041</v>
      </c>
    </row>
    <row r="396" spans="1:5" x14ac:dyDescent="0.3">
      <c r="A396">
        <f t="shared" ca="1" si="15"/>
        <v>0</v>
      </c>
      <c r="C396">
        <f ca="1">COUNTIF(A$2:A396,1)</f>
        <v>194</v>
      </c>
      <c r="D396">
        <f ca="1">COUNTIF(A$2:A396,0)</f>
        <v>201</v>
      </c>
      <c r="E396">
        <f t="shared" ca="1" si="16"/>
        <v>49.11392405063291</v>
      </c>
    </row>
    <row r="397" spans="1:5" x14ac:dyDescent="0.3">
      <c r="A397">
        <f t="shared" ca="1" si="15"/>
        <v>0</v>
      </c>
      <c r="C397">
        <f ca="1">COUNTIF(A$2:A397,1)</f>
        <v>194</v>
      </c>
      <c r="D397">
        <f ca="1">COUNTIF(A$2:A397,0)</f>
        <v>202</v>
      </c>
      <c r="E397">
        <f t="shared" ca="1" si="16"/>
        <v>48.98989898989899</v>
      </c>
    </row>
    <row r="398" spans="1:5" x14ac:dyDescent="0.3">
      <c r="A398">
        <f t="shared" ca="1" si="15"/>
        <v>0</v>
      </c>
      <c r="C398">
        <f ca="1">COUNTIF(A$2:A398,1)</f>
        <v>194</v>
      </c>
      <c r="D398">
        <f ca="1">COUNTIF(A$2:A398,0)</f>
        <v>203</v>
      </c>
      <c r="E398">
        <f t="shared" ca="1" si="16"/>
        <v>48.866498740554157</v>
      </c>
    </row>
    <row r="399" spans="1:5" x14ac:dyDescent="0.3">
      <c r="A399">
        <f t="shared" ca="1" si="15"/>
        <v>0</v>
      </c>
      <c r="C399">
        <f ca="1">COUNTIF(A$2:A399,1)</f>
        <v>194</v>
      </c>
      <c r="D399">
        <f ca="1">COUNTIF(A$2:A399,0)</f>
        <v>204</v>
      </c>
      <c r="E399">
        <f t="shared" ca="1" si="16"/>
        <v>48.743718592964825</v>
      </c>
    </row>
    <row r="400" spans="1:5" x14ac:dyDescent="0.3">
      <c r="A400">
        <f t="shared" ca="1" si="15"/>
        <v>1</v>
      </c>
      <c r="C400">
        <f ca="1">COUNTIF(A$2:A400,1)</f>
        <v>195</v>
      </c>
      <c r="D400">
        <f ca="1">COUNTIF(A$2:A400,0)</f>
        <v>204</v>
      </c>
      <c r="E400">
        <f t="shared" ca="1" si="16"/>
        <v>48.872180451127818</v>
      </c>
    </row>
    <row r="401" spans="1:5" x14ac:dyDescent="0.3">
      <c r="A401">
        <f t="shared" ca="1" si="15"/>
        <v>1</v>
      </c>
      <c r="C401">
        <f ca="1">COUNTIF(A$2:A401,1)</f>
        <v>196</v>
      </c>
      <c r="D401">
        <f ca="1">COUNTIF(A$2:A401,0)</f>
        <v>204</v>
      </c>
      <c r="E401">
        <f t="shared" ca="1" si="16"/>
        <v>49</v>
      </c>
    </row>
    <row r="402" spans="1:5" x14ac:dyDescent="0.3">
      <c r="A402">
        <f ca="1">ROUND(RAND(),0)</f>
        <v>1</v>
      </c>
      <c r="C402">
        <f ca="1">COUNTIF(A$2:A402,1)</f>
        <v>197</v>
      </c>
      <c r="D402">
        <f ca="1">COUNTIF(A$2:A402,0)</f>
        <v>204</v>
      </c>
      <c r="E402">
        <f t="shared" ca="1" si="16"/>
        <v>49.127182044887782</v>
      </c>
    </row>
    <row r="403" spans="1:5" x14ac:dyDescent="0.3">
      <c r="A403">
        <f ca="1">ROUND(RAND(),0)</f>
        <v>0</v>
      </c>
      <c r="C403">
        <f ca="1">COUNTIF(A$2:A403,1)</f>
        <v>197</v>
      </c>
      <c r="D403">
        <f ca="1">COUNTIF(A$2:A403,0)</f>
        <v>205</v>
      </c>
      <c r="E403">
        <f t="shared" ca="1" si="16"/>
        <v>49.004975124378106</v>
      </c>
    </row>
    <row r="404" spans="1:5" x14ac:dyDescent="0.3">
      <c r="A404">
        <f ca="1">ROUND(RAND(),0)</f>
        <v>0</v>
      </c>
      <c r="C404">
        <f ca="1">COUNTIF(A$2:A404,1)</f>
        <v>197</v>
      </c>
      <c r="D404">
        <f ca="1">COUNTIF(A$2:A404,0)</f>
        <v>206</v>
      </c>
      <c r="E404">
        <f t="shared" ca="1" si="16"/>
        <v>48.883374689826304</v>
      </c>
    </row>
    <row r="405" spans="1:5" x14ac:dyDescent="0.3">
      <c r="A405">
        <f ca="1">ROUND(RAND(),0)</f>
        <v>0</v>
      </c>
      <c r="C405">
        <f ca="1">COUNTIF(A$2:A405,1)</f>
        <v>197</v>
      </c>
      <c r="D405">
        <f ca="1">COUNTIF(A$2:A405,0)</f>
        <v>207</v>
      </c>
      <c r="E405">
        <f t="shared" ca="1" si="16"/>
        <v>48.762376237623762</v>
      </c>
    </row>
    <row r="406" spans="1:5" x14ac:dyDescent="0.3">
      <c r="A406">
        <f ca="1">ROUND(RAND(),0)</f>
        <v>0</v>
      </c>
      <c r="C406">
        <f ca="1">COUNTIF(A$2:A406,1)</f>
        <v>197</v>
      </c>
      <c r="D406">
        <f ca="1">COUNTIF(A$2:A406,0)</f>
        <v>208</v>
      </c>
      <c r="E406">
        <f t="shared" ca="1" si="16"/>
        <v>48.641975308641975</v>
      </c>
    </row>
    <row r="407" spans="1:5" x14ac:dyDescent="0.3">
      <c r="A407">
        <f t="shared" ref="A407:A473" ca="1" si="17">ROUND(RAND(),0)</f>
        <v>1</v>
      </c>
      <c r="C407">
        <f ca="1">COUNTIF(A$2:A407,1)</f>
        <v>198</v>
      </c>
      <c r="D407">
        <f ca="1">COUNTIF(A$2:A407,0)</f>
        <v>208</v>
      </c>
      <c r="E407">
        <f t="shared" ca="1" si="16"/>
        <v>48.768472906403943</v>
      </c>
    </row>
    <row r="408" spans="1:5" x14ac:dyDescent="0.3">
      <c r="A408">
        <f t="shared" ca="1" si="17"/>
        <v>0</v>
      </c>
      <c r="C408">
        <f ca="1">COUNTIF(A$2:A408,1)</f>
        <v>198</v>
      </c>
      <c r="D408">
        <f ca="1">COUNTIF(A$2:A408,0)</f>
        <v>209</v>
      </c>
      <c r="E408">
        <f t="shared" ca="1" si="16"/>
        <v>48.648648648648653</v>
      </c>
    </row>
    <row r="409" spans="1:5" x14ac:dyDescent="0.3">
      <c r="A409">
        <f t="shared" ca="1" si="17"/>
        <v>1</v>
      </c>
      <c r="C409">
        <f ca="1">COUNTIF(A$2:A409,1)</f>
        <v>199</v>
      </c>
      <c r="D409">
        <f ca="1">COUNTIF(A$2:A409,0)</f>
        <v>209</v>
      </c>
      <c r="E409">
        <f t="shared" ca="1" si="16"/>
        <v>48.774509803921568</v>
      </c>
    </row>
    <row r="410" spans="1:5" x14ac:dyDescent="0.3">
      <c r="A410">
        <f t="shared" ca="1" si="17"/>
        <v>0</v>
      </c>
      <c r="C410">
        <f ca="1">COUNTIF(A$2:A410,1)</f>
        <v>199</v>
      </c>
      <c r="D410">
        <f ca="1">COUNTIF(A$2:A410,0)</f>
        <v>210</v>
      </c>
      <c r="E410">
        <f t="shared" ca="1" si="16"/>
        <v>48.655256723716384</v>
      </c>
    </row>
    <row r="411" spans="1:5" x14ac:dyDescent="0.3">
      <c r="A411">
        <f t="shared" ca="1" si="17"/>
        <v>0</v>
      </c>
      <c r="C411">
        <f ca="1">COUNTIF(A$2:A411,1)</f>
        <v>199</v>
      </c>
      <c r="D411">
        <f ca="1">COUNTIF(A$2:A411,0)</f>
        <v>211</v>
      </c>
      <c r="E411">
        <f t="shared" ca="1" si="16"/>
        <v>48.536585365853654</v>
      </c>
    </row>
    <row r="412" spans="1:5" x14ac:dyDescent="0.3">
      <c r="A412">
        <f t="shared" ca="1" si="17"/>
        <v>0</v>
      </c>
      <c r="C412">
        <f ca="1">COUNTIF(A$2:A412,1)</f>
        <v>199</v>
      </c>
      <c r="D412">
        <f ca="1">COUNTIF(A$2:A412,0)</f>
        <v>212</v>
      </c>
      <c r="E412">
        <f t="shared" ca="1" si="16"/>
        <v>48.418491484184919</v>
      </c>
    </row>
    <row r="413" spans="1:5" x14ac:dyDescent="0.3">
      <c r="A413">
        <f t="shared" ca="1" si="17"/>
        <v>0</v>
      </c>
      <c r="C413">
        <f ca="1">COUNTIF(A$2:A413,1)</f>
        <v>199</v>
      </c>
      <c r="D413">
        <f ca="1">COUNTIF(A$2:A413,0)</f>
        <v>213</v>
      </c>
      <c r="E413">
        <f t="shared" ca="1" si="16"/>
        <v>48.300970873786412</v>
      </c>
    </row>
    <row r="414" spans="1:5" x14ac:dyDescent="0.3">
      <c r="A414">
        <f t="shared" ca="1" si="17"/>
        <v>0</v>
      </c>
      <c r="C414">
        <f ca="1">COUNTIF(A$2:A414,1)</f>
        <v>199</v>
      </c>
      <c r="D414">
        <f ca="1">COUNTIF(A$2:A414,0)</f>
        <v>214</v>
      </c>
      <c r="E414">
        <f t="shared" ca="1" si="16"/>
        <v>48.184019370460049</v>
      </c>
    </row>
    <row r="415" spans="1:5" x14ac:dyDescent="0.3">
      <c r="A415">
        <f t="shared" ca="1" si="17"/>
        <v>0</v>
      </c>
      <c r="C415">
        <f ca="1">COUNTIF(A$2:A415,1)</f>
        <v>199</v>
      </c>
      <c r="D415">
        <f ca="1">COUNTIF(A$2:A415,0)</f>
        <v>215</v>
      </c>
      <c r="E415">
        <f t="shared" ca="1" si="16"/>
        <v>48.067632850241552</v>
      </c>
    </row>
    <row r="416" spans="1:5" x14ac:dyDescent="0.3">
      <c r="A416">
        <f t="shared" ca="1" si="17"/>
        <v>0</v>
      </c>
      <c r="C416">
        <f ca="1">COUNTIF(A$2:A416,1)</f>
        <v>199</v>
      </c>
      <c r="D416">
        <f ca="1">COUNTIF(A$2:A416,0)</f>
        <v>216</v>
      </c>
      <c r="E416">
        <f t="shared" ca="1" si="16"/>
        <v>47.951807228915662</v>
      </c>
    </row>
    <row r="417" spans="1:5" x14ac:dyDescent="0.3">
      <c r="A417">
        <f t="shared" ca="1" si="17"/>
        <v>1</v>
      </c>
      <c r="C417">
        <f ca="1">COUNTIF(A$2:A417,1)</f>
        <v>200</v>
      </c>
      <c r="D417">
        <f ca="1">COUNTIF(A$2:A417,0)</f>
        <v>216</v>
      </c>
      <c r="E417">
        <f t="shared" ca="1" si="16"/>
        <v>48.07692307692308</v>
      </c>
    </row>
    <row r="418" spans="1:5" x14ac:dyDescent="0.3">
      <c r="A418">
        <f t="shared" ca="1" si="17"/>
        <v>1</v>
      </c>
      <c r="C418">
        <f ca="1">COUNTIF(A$2:A418,1)</f>
        <v>201</v>
      </c>
      <c r="D418">
        <f ca="1">COUNTIF(A$2:A418,0)</f>
        <v>216</v>
      </c>
      <c r="E418">
        <f ca="1">C418/(C418+D418)*100</f>
        <v>48.201438848920866</v>
      </c>
    </row>
    <row r="419" spans="1:5" x14ac:dyDescent="0.3">
      <c r="A419">
        <f t="shared" ca="1" si="17"/>
        <v>1</v>
      </c>
      <c r="C419">
        <f ca="1">COUNTIF(A$2:A419,1)</f>
        <v>202</v>
      </c>
      <c r="D419">
        <f ca="1">COUNTIF(A$2:A419,0)</f>
        <v>216</v>
      </c>
      <c r="E419">
        <f t="shared" ref="E419:E482" ca="1" si="18">C419/(C419+D419)*100</f>
        <v>48.325358851674643</v>
      </c>
    </row>
    <row r="420" spans="1:5" x14ac:dyDescent="0.3">
      <c r="A420">
        <f t="shared" ca="1" si="17"/>
        <v>0</v>
      </c>
      <c r="C420">
        <f ca="1">COUNTIF(A$2:A420,1)</f>
        <v>202</v>
      </c>
      <c r="D420">
        <f ca="1">COUNTIF(A$2:A420,0)</f>
        <v>217</v>
      </c>
      <c r="E420">
        <f t="shared" ca="1" si="18"/>
        <v>48.21002386634845</v>
      </c>
    </row>
    <row r="421" spans="1:5" x14ac:dyDescent="0.3">
      <c r="A421">
        <f t="shared" ca="1" si="17"/>
        <v>0</v>
      </c>
      <c r="C421">
        <f ca="1">COUNTIF(A$2:A421,1)</f>
        <v>202</v>
      </c>
      <c r="D421">
        <f ca="1">COUNTIF(A$2:A421,0)</f>
        <v>218</v>
      </c>
      <c r="E421">
        <f t="shared" ca="1" si="18"/>
        <v>48.095238095238095</v>
      </c>
    </row>
    <row r="422" spans="1:5" x14ac:dyDescent="0.3">
      <c r="A422">
        <f t="shared" ca="1" si="17"/>
        <v>0</v>
      </c>
      <c r="C422">
        <f ca="1">COUNTIF(A$2:A422,1)</f>
        <v>202</v>
      </c>
      <c r="D422">
        <f ca="1">COUNTIF(A$2:A422,0)</f>
        <v>219</v>
      </c>
      <c r="E422">
        <f t="shared" ca="1" si="18"/>
        <v>47.980997624703086</v>
      </c>
    </row>
    <row r="423" spans="1:5" x14ac:dyDescent="0.3">
      <c r="A423">
        <f t="shared" ca="1" si="17"/>
        <v>1</v>
      </c>
      <c r="C423">
        <f ca="1">COUNTIF(A$2:A423,1)</f>
        <v>203</v>
      </c>
      <c r="D423">
        <f ca="1">COUNTIF(A$2:A423,0)</f>
        <v>219</v>
      </c>
      <c r="E423">
        <f t="shared" ca="1" si="18"/>
        <v>48.104265402843602</v>
      </c>
    </row>
    <row r="424" spans="1:5" x14ac:dyDescent="0.3">
      <c r="A424">
        <f t="shared" ca="1" si="17"/>
        <v>0</v>
      </c>
      <c r="C424">
        <f ca="1">COUNTIF(A$2:A424,1)</f>
        <v>203</v>
      </c>
      <c r="D424">
        <f ca="1">COUNTIF(A$2:A424,0)</f>
        <v>220</v>
      </c>
      <c r="E424">
        <f t="shared" ca="1" si="18"/>
        <v>47.990543735224591</v>
      </c>
    </row>
    <row r="425" spans="1:5" x14ac:dyDescent="0.3">
      <c r="A425">
        <f t="shared" ca="1" si="17"/>
        <v>1</v>
      </c>
      <c r="C425">
        <f ca="1">COUNTIF(A$2:A425,1)</f>
        <v>204</v>
      </c>
      <c r="D425">
        <f ca="1">COUNTIF(A$2:A425,0)</f>
        <v>220</v>
      </c>
      <c r="E425">
        <f t="shared" ca="1" si="18"/>
        <v>48.113207547169814</v>
      </c>
    </row>
    <row r="426" spans="1:5" x14ac:dyDescent="0.3">
      <c r="A426">
        <f t="shared" ca="1" si="17"/>
        <v>0</v>
      </c>
      <c r="C426">
        <f ca="1">COUNTIF(A$2:A426,1)</f>
        <v>204</v>
      </c>
      <c r="D426">
        <f ca="1">COUNTIF(A$2:A426,0)</f>
        <v>221</v>
      </c>
      <c r="E426">
        <f t="shared" ca="1" si="18"/>
        <v>48</v>
      </c>
    </row>
    <row r="427" spans="1:5" x14ac:dyDescent="0.3">
      <c r="A427">
        <f t="shared" ca="1" si="17"/>
        <v>0</v>
      </c>
      <c r="C427">
        <f ca="1">COUNTIF(A$2:A427,1)</f>
        <v>204</v>
      </c>
      <c r="D427">
        <f ca="1">COUNTIF(A$2:A427,0)</f>
        <v>222</v>
      </c>
      <c r="E427">
        <f t="shared" ca="1" si="18"/>
        <v>47.887323943661968</v>
      </c>
    </row>
    <row r="428" spans="1:5" x14ac:dyDescent="0.3">
      <c r="A428">
        <f t="shared" ca="1" si="17"/>
        <v>0</v>
      </c>
      <c r="C428">
        <f ca="1">COUNTIF(A$2:A428,1)</f>
        <v>204</v>
      </c>
      <c r="D428">
        <f ca="1">COUNTIF(A$2:A428,0)</f>
        <v>223</v>
      </c>
      <c r="E428">
        <f t="shared" ca="1" si="18"/>
        <v>47.775175644028103</v>
      </c>
    </row>
    <row r="429" spans="1:5" x14ac:dyDescent="0.3">
      <c r="A429">
        <f t="shared" ca="1" si="17"/>
        <v>0</v>
      </c>
      <c r="C429">
        <f ca="1">COUNTIF(A$2:A429,1)</f>
        <v>204</v>
      </c>
      <c r="D429">
        <f ca="1">COUNTIF(A$2:A429,0)</f>
        <v>224</v>
      </c>
      <c r="E429">
        <f t="shared" ca="1" si="18"/>
        <v>47.663551401869157</v>
      </c>
    </row>
    <row r="430" spans="1:5" x14ac:dyDescent="0.3">
      <c r="A430">
        <f t="shared" ca="1" si="17"/>
        <v>0</v>
      </c>
      <c r="C430">
        <f ca="1">COUNTIF(A$2:A430,1)</f>
        <v>204</v>
      </c>
      <c r="D430">
        <f ca="1">COUNTIF(A$2:A430,0)</f>
        <v>225</v>
      </c>
      <c r="E430">
        <f t="shared" ca="1" si="18"/>
        <v>47.552447552447553</v>
      </c>
    </row>
    <row r="431" spans="1:5" x14ac:dyDescent="0.3">
      <c r="A431">
        <f t="shared" ca="1" si="17"/>
        <v>0</v>
      </c>
      <c r="C431">
        <f ca="1">COUNTIF(A$2:A431,1)</f>
        <v>204</v>
      </c>
      <c r="D431">
        <f ca="1">COUNTIF(A$2:A431,0)</f>
        <v>226</v>
      </c>
      <c r="E431">
        <f t="shared" ca="1" si="18"/>
        <v>47.441860465116278</v>
      </c>
    </row>
    <row r="432" spans="1:5" x14ac:dyDescent="0.3">
      <c r="A432">
        <f t="shared" ca="1" si="17"/>
        <v>0</v>
      </c>
      <c r="C432">
        <f ca="1">COUNTIF(A$2:A432,1)</f>
        <v>204</v>
      </c>
      <c r="D432">
        <f ca="1">COUNTIF(A$2:A432,0)</f>
        <v>227</v>
      </c>
      <c r="E432">
        <f t="shared" ca="1" si="18"/>
        <v>47.331786542923432</v>
      </c>
    </row>
    <row r="433" spans="1:5" x14ac:dyDescent="0.3">
      <c r="A433">
        <f t="shared" ca="1" si="17"/>
        <v>0</v>
      </c>
      <c r="C433">
        <f ca="1">COUNTIF(A$2:A433,1)</f>
        <v>204</v>
      </c>
      <c r="D433">
        <f ca="1">COUNTIF(A$2:A433,0)</f>
        <v>228</v>
      </c>
      <c r="E433">
        <f t="shared" ca="1" si="18"/>
        <v>47.222222222222221</v>
      </c>
    </row>
    <row r="434" spans="1:5" x14ac:dyDescent="0.3">
      <c r="A434">
        <f t="shared" ca="1" si="17"/>
        <v>0</v>
      </c>
      <c r="C434">
        <f ca="1">COUNTIF(A$2:A434,1)</f>
        <v>204</v>
      </c>
      <c r="D434">
        <f ca="1">COUNTIF(A$2:A434,0)</f>
        <v>229</v>
      </c>
      <c r="E434">
        <f t="shared" ca="1" si="18"/>
        <v>47.113163972286372</v>
      </c>
    </row>
    <row r="435" spans="1:5" x14ac:dyDescent="0.3">
      <c r="A435">
        <f t="shared" ca="1" si="17"/>
        <v>0</v>
      </c>
      <c r="C435">
        <f ca="1">COUNTIF(A$2:A435,1)</f>
        <v>204</v>
      </c>
      <c r="D435">
        <f ca="1">COUNTIF(A$2:A435,0)</f>
        <v>230</v>
      </c>
      <c r="E435">
        <f t="shared" ca="1" si="18"/>
        <v>47.004608294930875</v>
      </c>
    </row>
    <row r="436" spans="1:5" x14ac:dyDescent="0.3">
      <c r="A436">
        <f t="shared" ca="1" si="17"/>
        <v>1</v>
      </c>
      <c r="C436">
        <f ca="1">COUNTIF(A$2:A436,1)</f>
        <v>205</v>
      </c>
      <c r="D436">
        <f ca="1">COUNTIF(A$2:A436,0)</f>
        <v>230</v>
      </c>
      <c r="E436">
        <f t="shared" ca="1" si="18"/>
        <v>47.126436781609193</v>
      </c>
    </row>
    <row r="437" spans="1:5" x14ac:dyDescent="0.3">
      <c r="A437">
        <f t="shared" ca="1" si="17"/>
        <v>0</v>
      </c>
      <c r="C437">
        <f ca="1">COUNTIF(A$2:A437,1)</f>
        <v>205</v>
      </c>
      <c r="D437">
        <f ca="1">COUNTIF(A$2:A437,0)</f>
        <v>231</v>
      </c>
      <c r="E437">
        <f t="shared" ca="1" si="18"/>
        <v>47.018348623853214</v>
      </c>
    </row>
    <row r="438" spans="1:5" x14ac:dyDescent="0.3">
      <c r="A438">
        <f t="shared" ca="1" si="17"/>
        <v>1</v>
      </c>
      <c r="C438">
        <f ca="1">COUNTIF(A$2:A438,1)</f>
        <v>206</v>
      </c>
      <c r="D438">
        <f ca="1">COUNTIF(A$2:A438,0)</f>
        <v>231</v>
      </c>
      <c r="E438">
        <f t="shared" ca="1" si="18"/>
        <v>47.139588100686495</v>
      </c>
    </row>
    <row r="439" spans="1:5" x14ac:dyDescent="0.3">
      <c r="A439">
        <f t="shared" ca="1" si="17"/>
        <v>0</v>
      </c>
      <c r="C439">
        <f ca="1">COUNTIF(A$2:A439,1)</f>
        <v>206</v>
      </c>
      <c r="D439">
        <f ca="1">COUNTIF(A$2:A439,0)</f>
        <v>232</v>
      </c>
      <c r="E439">
        <f t="shared" ca="1" si="18"/>
        <v>47.031963470319631</v>
      </c>
    </row>
    <row r="440" spans="1:5" x14ac:dyDescent="0.3">
      <c r="A440">
        <f t="shared" ca="1" si="17"/>
        <v>1</v>
      </c>
      <c r="C440">
        <f ca="1">COUNTIF(A$2:A440,1)</f>
        <v>207</v>
      </c>
      <c r="D440">
        <f ca="1">COUNTIF(A$2:A440,0)</f>
        <v>232</v>
      </c>
      <c r="E440">
        <f t="shared" ca="1" si="18"/>
        <v>47.15261958997722</v>
      </c>
    </row>
    <row r="441" spans="1:5" x14ac:dyDescent="0.3">
      <c r="A441">
        <f t="shared" ca="1" si="17"/>
        <v>1</v>
      </c>
      <c r="C441">
        <f ca="1">COUNTIF(A$2:A441,1)</f>
        <v>208</v>
      </c>
      <c r="D441">
        <f ca="1">COUNTIF(A$2:A441,0)</f>
        <v>232</v>
      </c>
      <c r="E441">
        <f t="shared" ca="1" si="18"/>
        <v>47.272727272727273</v>
      </c>
    </row>
    <row r="442" spans="1:5" x14ac:dyDescent="0.3">
      <c r="A442">
        <f t="shared" ca="1" si="17"/>
        <v>1</v>
      </c>
      <c r="C442">
        <f ca="1">COUNTIF(A$2:A442,1)</f>
        <v>209</v>
      </c>
      <c r="D442">
        <f ca="1">COUNTIF(A$2:A442,0)</f>
        <v>232</v>
      </c>
      <c r="E442">
        <f t="shared" ca="1" si="18"/>
        <v>47.392290249433103</v>
      </c>
    </row>
    <row r="443" spans="1:5" x14ac:dyDescent="0.3">
      <c r="A443">
        <f t="shared" ca="1" si="17"/>
        <v>1</v>
      </c>
      <c r="C443">
        <f ca="1">COUNTIF(A$2:A443,1)</f>
        <v>210</v>
      </c>
      <c r="D443">
        <f ca="1">COUNTIF(A$2:A443,0)</f>
        <v>232</v>
      </c>
      <c r="E443">
        <f t="shared" ca="1" si="18"/>
        <v>47.511312217194565</v>
      </c>
    </row>
    <row r="444" spans="1:5" x14ac:dyDescent="0.3">
      <c r="A444">
        <f t="shared" ca="1" si="17"/>
        <v>1</v>
      </c>
      <c r="C444">
        <f ca="1">COUNTIF(A$2:A444,1)</f>
        <v>211</v>
      </c>
      <c r="D444">
        <f ca="1">COUNTIF(A$2:A444,0)</f>
        <v>232</v>
      </c>
      <c r="E444">
        <f t="shared" ca="1" si="18"/>
        <v>47.629796839729124</v>
      </c>
    </row>
    <row r="445" spans="1:5" x14ac:dyDescent="0.3">
      <c r="A445">
        <f t="shared" ca="1" si="17"/>
        <v>1</v>
      </c>
      <c r="C445">
        <f ca="1">COUNTIF(A$2:A445,1)</f>
        <v>212</v>
      </c>
      <c r="D445">
        <f ca="1">COUNTIF(A$2:A445,0)</f>
        <v>232</v>
      </c>
      <c r="E445">
        <f t="shared" ca="1" si="18"/>
        <v>47.747747747747752</v>
      </c>
    </row>
    <row r="446" spans="1:5" x14ac:dyDescent="0.3">
      <c r="A446">
        <f t="shared" ca="1" si="17"/>
        <v>1</v>
      </c>
      <c r="C446">
        <f ca="1">COUNTIF(A$2:A446,1)</f>
        <v>213</v>
      </c>
      <c r="D446">
        <f ca="1">COUNTIF(A$2:A446,0)</f>
        <v>232</v>
      </c>
      <c r="E446">
        <f t="shared" ca="1" si="18"/>
        <v>47.865168539325843</v>
      </c>
    </row>
    <row r="447" spans="1:5" x14ac:dyDescent="0.3">
      <c r="A447">
        <f t="shared" ca="1" si="17"/>
        <v>0</v>
      </c>
      <c r="C447">
        <f ca="1">COUNTIF(A$2:A447,1)</f>
        <v>213</v>
      </c>
      <c r="D447">
        <f ca="1">COUNTIF(A$2:A447,0)</f>
        <v>233</v>
      </c>
      <c r="E447">
        <f t="shared" ca="1" si="18"/>
        <v>47.757847533632287</v>
      </c>
    </row>
    <row r="448" spans="1:5" x14ac:dyDescent="0.3">
      <c r="A448">
        <f t="shared" ca="1" si="17"/>
        <v>1</v>
      </c>
      <c r="C448">
        <f ca="1">COUNTIF(A$2:A448,1)</f>
        <v>214</v>
      </c>
      <c r="D448">
        <f ca="1">COUNTIF(A$2:A448,0)</f>
        <v>233</v>
      </c>
      <c r="E448">
        <f t="shared" ca="1" si="18"/>
        <v>47.874720357941833</v>
      </c>
    </row>
    <row r="449" spans="1:5" x14ac:dyDescent="0.3">
      <c r="A449">
        <f t="shared" ca="1" si="17"/>
        <v>0</v>
      </c>
      <c r="C449">
        <f ca="1">COUNTIF(A$2:A449,1)</f>
        <v>214</v>
      </c>
      <c r="D449">
        <f ca="1">COUNTIF(A$2:A449,0)</f>
        <v>234</v>
      </c>
      <c r="E449">
        <f t="shared" ca="1" si="18"/>
        <v>47.767857142857146</v>
      </c>
    </row>
    <row r="450" spans="1:5" x14ac:dyDescent="0.3">
      <c r="A450">
        <f t="shared" ca="1" si="17"/>
        <v>1</v>
      </c>
      <c r="C450">
        <f ca="1">COUNTIF(A$2:A450,1)</f>
        <v>215</v>
      </c>
      <c r="D450">
        <f ca="1">COUNTIF(A$2:A450,0)</f>
        <v>234</v>
      </c>
      <c r="E450">
        <f t="shared" ca="1" si="18"/>
        <v>47.884187082405347</v>
      </c>
    </row>
    <row r="451" spans="1:5" x14ac:dyDescent="0.3">
      <c r="A451">
        <f t="shared" ca="1" si="17"/>
        <v>0</v>
      </c>
      <c r="C451">
        <f ca="1">COUNTIF(A$2:A451,1)</f>
        <v>215</v>
      </c>
      <c r="D451">
        <f ca="1">COUNTIF(A$2:A451,0)</f>
        <v>235</v>
      </c>
      <c r="E451">
        <f t="shared" ca="1" si="18"/>
        <v>47.777777777777779</v>
      </c>
    </row>
    <row r="452" spans="1:5" x14ac:dyDescent="0.3">
      <c r="A452">
        <f t="shared" ca="1" si="17"/>
        <v>0</v>
      </c>
      <c r="C452">
        <f ca="1">COUNTIF(A$2:A452,1)</f>
        <v>215</v>
      </c>
      <c r="D452">
        <f ca="1">COUNTIF(A$2:A452,0)</f>
        <v>236</v>
      </c>
      <c r="E452">
        <f t="shared" ca="1" si="18"/>
        <v>47.671840354767184</v>
      </c>
    </row>
    <row r="453" spans="1:5" x14ac:dyDescent="0.3">
      <c r="A453">
        <f t="shared" ca="1" si="17"/>
        <v>1</v>
      </c>
      <c r="C453">
        <f ca="1">COUNTIF(A$2:A453,1)</f>
        <v>216</v>
      </c>
      <c r="D453">
        <f ca="1">COUNTIF(A$2:A453,0)</f>
        <v>236</v>
      </c>
      <c r="E453">
        <f t="shared" ca="1" si="18"/>
        <v>47.787610619469028</v>
      </c>
    </row>
    <row r="454" spans="1:5" x14ac:dyDescent="0.3">
      <c r="A454">
        <f t="shared" ca="1" si="17"/>
        <v>1</v>
      </c>
      <c r="C454">
        <f ca="1">COUNTIF(A$2:A454,1)</f>
        <v>217</v>
      </c>
      <c r="D454">
        <f ca="1">COUNTIF(A$2:A454,0)</f>
        <v>236</v>
      </c>
      <c r="E454">
        <f t="shared" ca="1" si="18"/>
        <v>47.902869757174393</v>
      </c>
    </row>
    <row r="455" spans="1:5" x14ac:dyDescent="0.3">
      <c r="A455">
        <f t="shared" ca="1" si="17"/>
        <v>1</v>
      </c>
      <c r="C455">
        <f ca="1">COUNTIF(A$2:A455,1)</f>
        <v>218</v>
      </c>
      <c r="D455">
        <f ca="1">COUNTIF(A$2:A455,0)</f>
        <v>236</v>
      </c>
      <c r="E455">
        <f t="shared" ca="1" si="18"/>
        <v>48.017621145374449</v>
      </c>
    </row>
    <row r="456" spans="1:5" x14ac:dyDescent="0.3">
      <c r="A456">
        <f t="shared" ca="1" si="17"/>
        <v>1</v>
      </c>
      <c r="C456">
        <f ca="1">COUNTIF(A$2:A456,1)</f>
        <v>219</v>
      </c>
      <c r="D456">
        <f ca="1">COUNTIF(A$2:A456,0)</f>
        <v>236</v>
      </c>
      <c r="E456">
        <f t="shared" ca="1" si="18"/>
        <v>48.131868131868131</v>
      </c>
    </row>
    <row r="457" spans="1:5" x14ac:dyDescent="0.3">
      <c r="A457">
        <f t="shared" ca="1" si="17"/>
        <v>0</v>
      </c>
      <c r="C457">
        <f ca="1">COUNTIF(A$2:A457,1)</f>
        <v>219</v>
      </c>
      <c r="D457">
        <f ca="1">COUNTIF(A$2:A457,0)</f>
        <v>237</v>
      </c>
      <c r="E457">
        <f t="shared" ca="1" si="18"/>
        <v>48.026315789473685</v>
      </c>
    </row>
    <row r="458" spans="1:5" x14ac:dyDescent="0.3">
      <c r="A458">
        <f t="shared" ca="1" si="17"/>
        <v>1</v>
      </c>
      <c r="C458">
        <f ca="1">COUNTIF(A$2:A458,1)</f>
        <v>220</v>
      </c>
      <c r="D458">
        <f ca="1">COUNTIF(A$2:A458,0)</f>
        <v>237</v>
      </c>
      <c r="E458">
        <f t="shared" ca="1" si="18"/>
        <v>48.140043763676147</v>
      </c>
    </row>
    <row r="459" spans="1:5" x14ac:dyDescent="0.3">
      <c r="A459">
        <f t="shared" ca="1" si="17"/>
        <v>0</v>
      </c>
      <c r="C459">
        <f ca="1">COUNTIF(A$2:A459,1)</f>
        <v>220</v>
      </c>
      <c r="D459">
        <f ca="1">COUNTIF(A$2:A459,0)</f>
        <v>238</v>
      </c>
      <c r="E459">
        <f t="shared" ca="1" si="18"/>
        <v>48.034934497816593</v>
      </c>
    </row>
    <row r="460" spans="1:5" x14ac:dyDescent="0.3">
      <c r="A460">
        <f t="shared" ca="1" si="17"/>
        <v>1</v>
      </c>
      <c r="C460">
        <f ca="1">COUNTIF(A$2:A460,1)</f>
        <v>221</v>
      </c>
      <c r="D460">
        <f ca="1">COUNTIF(A$2:A460,0)</f>
        <v>238</v>
      </c>
      <c r="E460">
        <f t="shared" ca="1" si="18"/>
        <v>48.148148148148145</v>
      </c>
    </row>
    <row r="461" spans="1:5" x14ac:dyDescent="0.3">
      <c r="A461">
        <f t="shared" ca="1" si="17"/>
        <v>1</v>
      </c>
      <c r="C461">
        <f ca="1">COUNTIF(A$2:A461,1)</f>
        <v>222</v>
      </c>
      <c r="D461">
        <f ca="1">COUNTIF(A$2:A461,0)</f>
        <v>238</v>
      </c>
      <c r="E461">
        <f t="shared" ca="1" si="18"/>
        <v>48.260869565217391</v>
      </c>
    </row>
    <row r="462" spans="1:5" x14ac:dyDescent="0.3">
      <c r="A462">
        <f t="shared" ca="1" si="17"/>
        <v>0</v>
      </c>
      <c r="C462">
        <f ca="1">COUNTIF(A$2:A462,1)</f>
        <v>222</v>
      </c>
      <c r="D462">
        <f ca="1">COUNTIF(A$2:A462,0)</f>
        <v>239</v>
      </c>
      <c r="E462">
        <f t="shared" ca="1" si="18"/>
        <v>48.156182212581342</v>
      </c>
    </row>
    <row r="463" spans="1:5" x14ac:dyDescent="0.3">
      <c r="A463">
        <f t="shared" ca="1" si="17"/>
        <v>0</v>
      </c>
      <c r="C463">
        <f ca="1">COUNTIF(A$2:A463,1)</f>
        <v>222</v>
      </c>
      <c r="D463">
        <f ca="1">COUNTIF(A$2:A463,0)</f>
        <v>240</v>
      </c>
      <c r="E463">
        <f t="shared" ca="1" si="18"/>
        <v>48.051948051948052</v>
      </c>
    </row>
    <row r="464" spans="1:5" x14ac:dyDescent="0.3">
      <c r="A464">
        <f t="shared" ca="1" si="17"/>
        <v>1</v>
      </c>
      <c r="C464">
        <f ca="1">COUNTIF(A$2:A464,1)</f>
        <v>223</v>
      </c>
      <c r="D464">
        <f ca="1">COUNTIF(A$2:A464,0)</f>
        <v>240</v>
      </c>
      <c r="E464">
        <f t="shared" ca="1" si="18"/>
        <v>48.16414686825054</v>
      </c>
    </row>
    <row r="465" spans="1:5" x14ac:dyDescent="0.3">
      <c r="A465">
        <f t="shared" ca="1" si="17"/>
        <v>0</v>
      </c>
      <c r="C465">
        <f ca="1">COUNTIF(A$2:A465,1)</f>
        <v>223</v>
      </c>
      <c r="D465">
        <f ca="1">COUNTIF(A$2:A465,0)</f>
        <v>241</v>
      </c>
      <c r="E465">
        <f t="shared" ca="1" si="18"/>
        <v>48.060344827586206</v>
      </c>
    </row>
    <row r="466" spans="1:5" x14ac:dyDescent="0.3">
      <c r="A466">
        <f t="shared" ca="1" si="17"/>
        <v>1</v>
      </c>
      <c r="C466">
        <f ca="1">COUNTIF(A$2:A466,1)</f>
        <v>224</v>
      </c>
      <c r="D466">
        <f ca="1">COUNTIF(A$2:A466,0)</f>
        <v>241</v>
      </c>
      <c r="E466">
        <f t="shared" ca="1" si="18"/>
        <v>48.172043010752688</v>
      </c>
    </row>
    <row r="467" spans="1:5" x14ac:dyDescent="0.3">
      <c r="A467">
        <f t="shared" ca="1" si="17"/>
        <v>0</v>
      </c>
      <c r="C467">
        <f ca="1">COUNTIF(A$2:A467,1)</f>
        <v>224</v>
      </c>
      <c r="D467">
        <f ca="1">COUNTIF(A$2:A467,0)</f>
        <v>242</v>
      </c>
      <c r="E467">
        <f t="shared" ca="1" si="18"/>
        <v>48.068669527896994</v>
      </c>
    </row>
    <row r="468" spans="1:5" x14ac:dyDescent="0.3">
      <c r="A468">
        <f t="shared" ca="1" si="17"/>
        <v>0</v>
      </c>
      <c r="C468">
        <f ca="1">COUNTIF(A$2:A468,1)</f>
        <v>224</v>
      </c>
      <c r="D468">
        <f ca="1">COUNTIF(A$2:A468,0)</f>
        <v>243</v>
      </c>
      <c r="E468">
        <f t="shared" ca="1" si="18"/>
        <v>47.965738758029978</v>
      </c>
    </row>
    <row r="469" spans="1:5" x14ac:dyDescent="0.3">
      <c r="A469">
        <f t="shared" ca="1" si="17"/>
        <v>1</v>
      </c>
      <c r="C469">
        <f ca="1">COUNTIF(A$2:A469,1)</f>
        <v>225</v>
      </c>
      <c r="D469">
        <f ca="1">COUNTIF(A$2:A469,0)</f>
        <v>243</v>
      </c>
      <c r="E469">
        <f t="shared" ca="1" si="18"/>
        <v>48.07692307692308</v>
      </c>
    </row>
    <row r="470" spans="1:5" x14ac:dyDescent="0.3">
      <c r="A470">
        <f t="shared" ca="1" si="17"/>
        <v>1</v>
      </c>
      <c r="C470">
        <f ca="1">COUNTIF(A$2:A470,1)</f>
        <v>226</v>
      </c>
      <c r="D470">
        <f ca="1">COUNTIF(A$2:A470,0)</f>
        <v>243</v>
      </c>
      <c r="E470">
        <f t="shared" ca="1" si="18"/>
        <v>48.187633262260128</v>
      </c>
    </row>
    <row r="471" spans="1:5" x14ac:dyDescent="0.3">
      <c r="A471">
        <f t="shared" ca="1" si="17"/>
        <v>1</v>
      </c>
      <c r="C471">
        <f ca="1">COUNTIF(A$2:A471,1)</f>
        <v>227</v>
      </c>
      <c r="D471">
        <f ca="1">COUNTIF(A$2:A471,0)</f>
        <v>243</v>
      </c>
      <c r="E471">
        <f t="shared" ca="1" si="18"/>
        <v>48.297872340425528</v>
      </c>
    </row>
    <row r="472" spans="1:5" x14ac:dyDescent="0.3">
      <c r="A472">
        <f t="shared" ca="1" si="17"/>
        <v>1</v>
      </c>
      <c r="C472">
        <f ca="1">COUNTIF(A$2:A472,1)</f>
        <v>228</v>
      </c>
      <c r="D472">
        <f ca="1">COUNTIF(A$2:A472,0)</f>
        <v>243</v>
      </c>
      <c r="E472">
        <f t="shared" ca="1" si="18"/>
        <v>48.407643312101911</v>
      </c>
    </row>
    <row r="473" spans="1:5" x14ac:dyDescent="0.3">
      <c r="A473">
        <f t="shared" ca="1" si="17"/>
        <v>1</v>
      </c>
      <c r="C473">
        <f ca="1">COUNTIF(A$2:A473,1)</f>
        <v>229</v>
      </c>
      <c r="D473">
        <f ca="1">COUNTIF(A$2:A473,0)</f>
        <v>243</v>
      </c>
      <c r="E473">
        <f t="shared" ca="1" si="18"/>
        <v>48.516949152542374</v>
      </c>
    </row>
    <row r="474" spans="1:5" x14ac:dyDescent="0.3">
      <c r="A474">
        <f t="shared" ref="A474:A501" ca="1" si="19">ROUND(RAND(),0)</f>
        <v>0</v>
      </c>
      <c r="C474">
        <f ca="1">COUNTIF(A$2:A474,1)</f>
        <v>229</v>
      </c>
      <c r="D474">
        <f ca="1">COUNTIF(A$2:A474,0)</f>
        <v>244</v>
      </c>
      <c r="E474">
        <f t="shared" ca="1" si="18"/>
        <v>48.414376321353068</v>
      </c>
    </row>
    <row r="475" spans="1:5" x14ac:dyDescent="0.3">
      <c r="A475">
        <f t="shared" ca="1" si="19"/>
        <v>0</v>
      </c>
      <c r="C475">
        <f ca="1">COUNTIF(A$2:A475,1)</f>
        <v>229</v>
      </c>
      <c r="D475">
        <f ca="1">COUNTIF(A$2:A475,0)</f>
        <v>245</v>
      </c>
      <c r="E475">
        <f t="shared" ca="1" si="18"/>
        <v>48.312236286919827</v>
      </c>
    </row>
    <row r="476" spans="1:5" x14ac:dyDescent="0.3">
      <c r="A476">
        <f t="shared" ca="1" si="19"/>
        <v>0</v>
      </c>
      <c r="C476">
        <f ca="1">COUNTIF(A$2:A476,1)</f>
        <v>229</v>
      </c>
      <c r="D476">
        <f ca="1">COUNTIF(A$2:A476,0)</f>
        <v>246</v>
      </c>
      <c r="E476">
        <f t="shared" ca="1" si="18"/>
        <v>48.210526315789473</v>
      </c>
    </row>
    <row r="477" spans="1:5" x14ac:dyDescent="0.3">
      <c r="A477">
        <f t="shared" ca="1" si="19"/>
        <v>1</v>
      </c>
      <c r="C477">
        <f ca="1">COUNTIF(A$2:A477,1)</f>
        <v>230</v>
      </c>
      <c r="D477">
        <f ca="1">COUNTIF(A$2:A477,0)</f>
        <v>246</v>
      </c>
      <c r="E477">
        <f t="shared" ca="1" si="18"/>
        <v>48.319327731092436</v>
      </c>
    </row>
    <row r="478" spans="1:5" x14ac:dyDescent="0.3">
      <c r="A478">
        <f t="shared" ca="1" si="19"/>
        <v>1</v>
      </c>
      <c r="C478">
        <f ca="1">COUNTIF(A$2:A478,1)</f>
        <v>231</v>
      </c>
      <c r="D478">
        <f ca="1">COUNTIF(A$2:A478,0)</f>
        <v>246</v>
      </c>
      <c r="E478">
        <f t="shared" ca="1" si="18"/>
        <v>48.427672955974842</v>
      </c>
    </row>
    <row r="479" spans="1:5" x14ac:dyDescent="0.3">
      <c r="A479">
        <f t="shared" ca="1" si="19"/>
        <v>1</v>
      </c>
      <c r="C479">
        <f ca="1">COUNTIF(A$2:A479,1)</f>
        <v>232</v>
      </c>
      <c r="D479">
        <f ca="1">COUNTIF(A$2:A479,0)</f>
        <v>246</v>
      </c>
      <c r="E479">
        <f t="shared" ca="1" si="18"/>
        <v>48.535564853556487</v>
      </c>
    </row>
    <row r="480" spans="1:5" x14ac:dyDescent="0.3">
      <c r="A480">
        <f t="shared" ca="1" si="19"/>
        <v>0</v>
      </c>
      <c r="C480">
        <f ca="1">COUNTIF(A$2:A480,1)</f>
        <v>232</v>
      </c>
      <c r="D480">
        <f ca="1">COUNTIF(A$2:A480,0)</f>
        <v>247</v>
      </c>
      <c r="E480">
        <f t="shared" ca="1" si="18"/>
        <v>48.434237995824638</v>
      </c>
    </row>
    <row r="481" spans="1:5" x14ac:dyDescent="0.3">
      <c r="A481">
        <f t="shared" ca="1" si="19"/>
        <v>0</v>
      </c>
      <c r="C481">
        <f ca="1">COUNTIF(A$2:A481,1)</f>
        <v>232</v>
      </c>
      <c r="D481">
        <f ca="1">COUNTIF(A$2:A481,0)</f>
        <v>248</v>
      </c>
      <c r="E481">
        <f t="shared" ca="1" si="18"/>
        <v>48.333333333333336</v>
      </c>
    </row>
    <row r="482" spans="1:5" x14ac:dyDescent="0.3">
      <c r="A482">
        <f t="shared" ca="1" si="19"/>
        <v>1</v>
      </c>
      <c r="C482">
        <f ca="1">COUNTIF(A$2:A482,1)</f>
        <v>233</v>
      </c>
      <c r="D482">
        <f ca="1">COUNTIF(A$2:A482,0)</f>
        <v>248</v>
      </c>
      <c r="E482">
        <f t="shared" ca="1" si="18"/>
        <v>48.440748440748443</v>
      </c>
    </row>
    <row r="483" spans="1:5" x14ac:dyDescent="0.3">
      <c r="A483">
        <f t="shared" ca="1" si="19"/>
        <v>1</v>
      </c>
      <c r="C483">
        <f ca="1">COUNTIF(A$2:A483,1)</f>
        <v>234</v>
      </c>
      <c r="D483">
        <f ca="1">COUNTIF(A$2:A483,0)</f>
        <v>248</v>
      </c>
      <c r="E483">
        <f t="shared" ref="E483:E501" ca="1" si="20">C483/(C483+D483)*100</f>
        <v>48.54771784232365</v>
      </c>
    </row>
    <row r="484" spans="1:5" x14ac:dyDescent="0.3">
      <c r="A484">
        <f t="shared" ca="1" si="19"/>
        <v>1</v>
      </c>
      <c r="C484">
        <f ca="1">COUNTIF(A$2:A484,1)</f>
        <v>235</v>
      </c>
      <c r="D484">
        <f ca="1">COUNTIF(A$2:A484,0)</f>
        <v>248</v>
      </c>
      <c r="E484">
        <f t="shared" ca="1" si="20"/>
        <v>48.654244306418221</v>
      </c>
    </row>
    <row r="485" spans="1:5" x14ac:dyDescent="0.3">
      <c r="A485">
        <f t="shared" ca="1" si="19"/>
        <v>0</v>
      </c>
      <c r="C485">
        <f ca="1">COUNTIF(A$2:A485,1)</f>
        <v>235</v>
      </c>
      <c r="D485">
        <f ca="1">COUNTIF(A$2:A485,0)</f>
        <v>249</v>
      </c>
      <c r="E485">
        <f t="shared" ca="1" si="20"/>
        <v>48.553719008264466</v>
      </c>
    </row>
    <row r="486" spans="1:5" x14ac:dyDescent="0.3">
      <c r="A486">
        <f t="shared" ca="1" si="19"/>
        <v>1</v>
      </c>
      <c r="C486">
        <f ca="1">COUNTIF(A$2:A486,1)</f>
        <v>236</v>
      </c>
      <c r="D486">
        <f ca="1">COUNTIF(A$2:A486,0)</f>
        <v>249</v>
      </c>
      <c r="E486">
        <f t="shared" ca="1" si="20"/>
        <v>48.659793814432987</v>
      </c>
    </row>
    <row r="487" spans="1:5" x14ac:dyDescent="0.3">
      <c r="A487">
        <f t="shared" ca="1" si="19"/>
        <v>1</v>
      </c>
      <c r="C487">
        <f ca="1">COUNTIF(A$2:A487,1)</f>
        <v>237</v>
      </c>
      <c r="D487">
        <f ca="1">COUNTIF(A$2:A487,0)</f>
        <v>249</v>
      </c>
      <c r="E487">
        <f t="shared" ca="1" si="20"/>
        <v>48.76543209876543</v>
      </c>
    </row>
    <row r="488" spans="1:5" x14ac:dyDescent="0.3">
      <c r="A488">
        <f t="shared" ca="1" si="19"/>
        <v>1</v>
      </c>
      <c r="C488">
        <f ca="1">COUNTIF(A$2:A488,1)</f>
        <v>238</v>
      </c>
      <c r="D488">
        <f ca="1">COUNTIF(A$2:A488,0)</f>
        <v>249</v>
      </c>
      <c r="E488">
        <f t="shared" ca="1" si="20"/>
        <v>48.870636550308014</v>
      </c>
    </row>
    <row r="489" spans="1:5" x14ac:dyDescent="0.3">
      <c r="A489">
        <f t="shared" ca="1" si="19"/>
        <v>1</v>
      </c>
      <c r="C489">
        <f ca="1">COUNTIF(A$2:A489,1)</f>
        <v>239</v>
      </c>
      <c r="D489">
        <f ca="1">COUNTIF(A$2:A489,0)</f>
        <v>249</v>
      </c>
      <c r="E489">
        <f t="shared" ca="1" si="20"/>
        <v>48.975409836065573</v>
      </c>
    </row>
    <row r="490" spans="1:5" x14ac:dyDescent="0.3">
      <c r="A490">
        <f t="shared" ca="1" si="19"/>
        <v>0</v>
      </c>
      <c r="C490">
        <f ca="1">COUNTIF(A$2:A490,1)</f>
        <v>239</v>
      </c>
      <c r="D490">
        <f ca="1">COUNTIF(A$2:A490,0)</f>
        <v>250</v>
      </c>
      <c r="E490">
        <f t="shared" ca="1" si="20"/>
        <v>48.875255623721884</v>
      </c>
    </row>
    <row r="491" spans="1:5" x14ac:dyDescent="0.3">
      <c r="A491">
        <f t="shared" ca="1" si="19"/>
        <v>0</v>
      </c>
      <c r="C491">
        <f ca="1">COUNTIF(A$2:A491,1)</f>
        <v>239</v>
      </c>
      <c r="D491">
        <f ca="1">COUNTIF(A$2:A491,0)</f>
        <v>251</v>
      </c>
      <c r="E491">
        <f t="shared" ca="1" si="20"/>
        <v>48.775510204081634</v>
      </c>
    </row>
    <row r="492" spans="1:5" x14ac:dyDescent="0.3">
      <c r="A492">
        <f t="shared" ca="1" si="19"/>
        <v>0</v>
      </c>
      <c r="C492">
        <f ca="1">COUNTIF(A$2:A492,1)</f>
        <v>239</v>
      </c>
      <c r="D492">
        <f ca="1">COUNTIF(A$2:A492,0)</f>
        <v>252</v>
      </c>
      <c r="E492">
        <f t="shared" ca="1" si="20"/>
        <v>48.676171079429736</v>
      </c>
    </row>
    <row r="493" spans="1:5" x14ac:dyDescent="0.3">
      <c r="A493">
        <f t="shared" ca="1" si="19"/>
        <v>1</v>
      </c>
      <c r="C493">
        <f ca="1">COUNTIF(A$2:A493,1)</f>
        <v>240</v>
      </c>
      <c r="D493">
        <f ca="1">COUNTIF(A$2:A493,0)</f>
        <v>252</v>
      </c>
      <c r="E493">
        <f t="shared" ca="1" si="20"/>
        <v>48.780487804878049</v>
      </c>
    </row>
    <row r="494" spans="1:5" x14ac:dyDescent="0.3">
      <c r="A494">
        <f t="shared" ca="1" si="19"/>
        <v>0</v>
      </c>
      <c r="C494">
        <f ca="1">COUNTIF(A$2:A494,1)</f>
        <v>240</v>
      </c>
      <c r="D494">
        <f ca="1">COUNTIF(A$2:A494,0)</f>
        <v>253</v>
      </c>
      <c r="E494">
        <f t="shared" ca="1" si="20"/>
        <v>48.681541582150103</v>
      </c>
    </row>
    <row r="495" spans="1:5" x14ac:dyDescent="0.3">
      <c r="A495">
        <f t="shared" ca="1" si="19"/>
        <v>1</v>
      </c>
      <c r="C495">
        <f ca="1">COUNTIF(A$2:A495,1)</f>
        <v>241</v>
      </c>
      <c r="D495">
        <f ca="1">COUNTIF(A$2:A495,0)</f>
        <v>253</v>
      </c>
      <c r="E495">
        <f t="shared" ca="1" si="20"/>
        <v>48.785425101214571</v>
      </c>
    </row>
    <row r="496" spans="1:5" x14ac:dyDescent="0.3">
      <c r="A496">
        <f t="shared" ca="1" si="19"/>
        <v>1</v>
      </c>
      <c r="C496">
        <f ca="1">COUNTIF(A$2:A496,1)</f>
        <v>242</v>
      </c>
      <c r="D496">
        <f ca="1">COUNTIF(A$2:A496,0)</f>
        <v>253</v>
      </c>
      <c r="E496">
        <f t="shared" ca="1" si="20"/>
        <v>48.888888888888886</v>
      </c>
    </row>
    <row r="497" spans="1:5" x14ac:dyDescent="0.3">
      <c r="A497">
        <f t="shared" ca="1" si="19"/>
        <v>1</v>
      </c>
      <c r="C497">
        <f ca="1">COUNTIF(A$2:A497,1)</f>
        <v>243</v>
      </c>
      <c r="D497">
        <f ca="1">COUNTIF(A$2:A497,0)</f>
        <v>253</v>
      </c>
      <c r="E497">
        <f t="shared" ca="1" si="20"/>
        <v>48.991935483870968</v>
      </c>
    </row>
    <row r="498" spans="1:5" x14ac:dyDescent="0.3">
      <c r="A498">
        <f t="shared" ca="1" si="19"/>
        <v>1</v>
      </c>
      <c r="C498">
        <f ca="1">COUNTIF(A$2:A498,1)</f>
        <v>244</v>
      </c>
      <c r="D498">
        <f ca="1">COUNTIF(A$2:A498,0)</f>
        <v>253</v>
      </c>
      <c r="E498">
        <f t="shared" ca="1" si="20"/>
        <v>49.094567404426556</v>
      </c>
    </row>
    <row r="499" spans="1:5" x14ac:dyDescent="0.3">
      <c r="A499">
        <f t="shared" ca="1" si="19"/>
        <v>0</v>
      </c>
      <c r="C499">
        <f ca="1">COUNTIF(A$2:A499,1)</f>
        <v>244</v>
      </c>
      <c r="D499">
        <f ca="1">COUNTIF(A$2:A499,0)</f>
        <v>254</v>
      </c>
      <c r="E499">
        <f t="shared" ca="1" si="20"/>
        <v>48.99598393574297</v>
      </c>
    </row>
    <row r="500" spans="1:5" x14ac:dyDescent="0.3">
      <c r="A500">
        <f t="shared" ca="1" si="19"/>
        <v>1</v>
      </c>
      <c r="C500">
        <f ca="1">COUNTIF(A$2:A500,1)</f>
        <v>245</v>
      </c>
      <c r="D500">
        <f ca="1">COUNTIF(A$2:A500,0)</f>
        <v>254</v>
      </c>
      <c r="E500">
        <f t="shared" ca="1" si="20"/>
        <v>49.098196392785567</v>
      </c>
    </row>
    <row r="501" spans="1:5" x14ac:dyDescent="0.3">
      <c r="A501">
        <f t="shared" ca="1" si="19"/>
        <v>1</v>
      </c>
      <c r="C501">
        <f ca="1">COUNTIF(A$2:A501,1)</f>
        <v>246</v>
      </c>
      <c r="D501">
        <f ca="1">COUNTIF(A$2:A501,0)</f>
        <v>254</v>
      </c>
      <c r="E501">
        <f t="shared" ca="1" si="20"/>
        <v>49.2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65C4-8BA3-4FBC-B4E0-49CAA3A0C9CB}">
  <dimension ref="A1:N502"/>
  <sheetViews>
    <sheetView zoomScale="70" zoomScaleNormal="70" workbookViewId="0">
      <selection activeCell="I2" sqref="I2"/>
    </sheetView>
  </sheetViews>
  <sheetFormatPr defaultRowHeight="14.4" x14ac:dyDescent="0.3"/>
  <cols>
    <col min="3" max="8" width="9.88671875" customWidth="1"/>
  </cols>
  <sheetData>
    <row r="1" spans="1:14" x14ac:dyDescent="0.3"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s="11">
        <v>1</v>
      </c>
      <c r="J1" s="11">
        <v>2</v>
      </c>
      <c r="K1" s="11">
        <v>3</v>
      </c>
      <c r="L1" s="11">
        <v>4</v>
      </c>
      <c r="M1" s="11">
        <v>5</v>
      </c>
      <c r="N1" s="11">
        <v>6</v>
      </c>
    </row>
    <row r="2" spans="1:14" x14ac:dyDescent="0.3">
      <c r="A2">
        <f ca="1">ROUNDDOWN(RAND()*6+1,0)</f>
        <v>2</v>
      </c>
      <c r="C2">
        <f ca="1">COUNTIF(A$2:A2,1)</f>
        <v>0</v>
      </c>
      <c r="D2">
        <f ca="1">COUNTIF($A$2:$A2,2)</f>
        <v>1</v>
      </c>
      <c r="E2">
        <f ca="1">COUNTIF($A$2:$A2,3)</f>
        <v>0</v>
      </c>
      <c r="F2">
        <f ca="1">COUNTIF($A$2:$A2,4)</f>
        <v>0</v>
      </c>
      <c r="G2">
        <f ca="1">COUNTIF($A$2:$A2,5)</f>
        <v>0</v>
      </c>
      <c r="H2">
        <f ca="1">COUNTIF($A$2:$A2,6)</f>
        <v>0</v>
      </c>
      <c r="I2">
        <f ca="1">C2/(SUM($C2:$H2))*100</f>
        <v>0</v>
      </c>
      <c r="J2">
        <f t="shared" ref="J2:N2" ca="1" si="0">D2/(SUM($C2:$H2))*100</f>
        <v>100</v>
      </c>
      <c r="K2">
        <f t="shared" ca="1" si="0"/>
        <v>0</v>
      </c>
      <c r="L2">
        <f t="shared" ca="1" si="0"/>
        <v>0</v>
      </c>
      <c r="M2">
        <f t="shared" ca="1" si="0"/>
        <v>0</v>
      </c>
      <c r="N2">
        <f t="shared" ca="1" si="0"/>
        <v>0</v>
      </c>
    </row>
    <row r="3" spans="1:14" x14ac:dyDescent="0.3">
      <c r="A3">
        <f ca="1">ROUNDDOWN(RAND()*6+1,0)</f>
        <v>3</v>
      </c>
      <c r="C3">
        <f ca="1">COUNTIF(A$2:A3,1)</f>
        <v>0</v>
      </c>
      <c r="D3">
        <f ca="1">COUNTIF($A$2:$A3,2)</f>
        <v>1</v>
      </c>
      <c r="E3">
        <f ca="1">COUNTIF($A$2:$A3,3)</f>
        <v>1</v>
      </c>
      <c r="F3">
        <f ca="1">COUNTIF($A$2:$A3,4)</f>
        <v>0</v>
      </c>
      <c r="G3">
        <f ca="1">COUNTIF($A$2:$A3,5)</f>
        <v>0</v>
      </c>
      <c r="H3">
        <f ca="1">COUNTIF($A$2:$A3,6)</f>
        <v>0</v>
      </c>
      <c r="I3">
        <f t="shared" ref="I3:I66" ca="1" si="1">C3/(SUM($C3:$H3))*100</f>
        <v>0</v>
      </c>
      <c r="J3">
        <f t="shared" ref="J3:J66" ca="1" si="2">D3/(SUM($C3:$H3))*100</f>
        <v>50</v>
      </c>
      <c r="K3">
        <f t="shared" ref="K3:K66" ca="1" si="3">E3/(SUM($C3:$H3))*100</f>
        <v>50</v>
      </c>
      <c r="L3">
        <f t="shared" ref="L3:L66" ca="1" si="4">F3/(SUM($C3:$H3))*100</f>
        <v>0</v>
      </c>
      <c r="M3">
        <f t="shared" ref="M3:M66" ca="1" si="5">G3/(SUM($C3:$H3))*100</f>
        <v>0</v>
      </c>
      <c r="N3">
        <f t="shared" ref="N3:N66" ca="1" si="6">H3/(SUM($C3:$H3))*100</f>
        <v>0</v>
      </c>
    </row>
    <row r="4" spans="1:14" x14ac:dyDescent="0.3">
      <c r="A4">
        <f t="shared" ref="A4:A66" ca="1" si="7">ROUNDDOWN(RAND()*6+1,0)</f>
        <v>5</v>
      </c>
      <c r="C4">
        <f ca="1">COUNTIF(A$2:A4,1)</f>
        <v>0</v>
      </c>
      <c r="D4">
        <f ca="1">COUNTIF($A$2:$A4,2)</f>
        <v>1</v>
      </c>
      <c r="E4">
        <f ca="1">COUNTIF($A$2:$A4,3)</f>
        <v>1</v>
      </c>
      <c r="F4">
        <f ca="1">COUNTIF($A$2:$A4,4)</f>
        <v>0</v>
      </c>
      <c r="G4">
        <f ca="1">COUNTIF($A$2:$A4,5)</f>
        <v>1</v>
      </c>
      <c r="H4">
        <f ca="1">COUNTIF($A$2:$A4,6)</f>
        <v>0</v>
      </c>
      <c r="I4">
        <f t="shared" ca="1" si="1"/>
        <v>0</v>
      </c>
      <c r="J4">
        <f t="shared" ca="1" si="2"/>
        <v>33.333333333333329</v>
      </c>
      <c r="K4">
        <f t="shared" ca="1" si="3"/>
        <v>33.333333333333329</v>
      </c>
      <c r="L4">
        <f t="shared" ca="1" si="4"/>
        <v>0</v>
      </c>
      <c r="M4">
        <f t="shared" ca="1" si="5"/>
        <v>33.333333333333329</v>
      </c>
      <c r="N4">
        <f t="shared" ca="1" si="6"/>
        <v>0</v>
      </c>
    </row>
    <row r="5" spans="1:14" x14ac:dyDescent="0.3">
      <c r="A5">
        <f t="shared" ca="1" si="7"/>
        <v>6</v>
      </c>
      <c r="C5">
        <f ca="1">COUNTIF(A$2:A5,1)</f>
        <v>0</v>
      </c>
      <c r="D5">
        <f ca="1">COUNTIF($A$2:$A5,2)</f>
        <v>1</v>
      </c>
      <c r="E5">
        <f ca="1">COUNTIF($A$2:$A5,3)</f>
        <v>1</v>
      </c>
      <c r="F5">
        <f ca="1">COUNTIF($A$2:$A5,4)</f>
        <v>0</v>
      </c>
      <c r="G5">
        <f ca="1">COUNTIF($A$2:$A5,5)</f>
        <v>1</v>
      </c>
      <c r="H5">
        <f ca="1">COUNTIF($A$2:$A5,6)</f>
        <v>1</v>
      </c>
      <c r="I5">
        <f t="shared" ca="1" si="1"/>
        <v>0</v>
      </c>
      <c r="J5">
        <f t="shared" ca="1" si="2"/>
        <v>25</v>
      </c>
      <c r="K5">
        <f t="shared" ca="1" si="3"/>
        <v>25</v>
      </c>
      <c r="L5">
        <f t="shared" ca="1" si="4"/>
        <v>0</v>
      </c>
      <c r="M5">
        <f t="shared" ca="1" si="5"/>
        <v>25</v>
      </c>
      <c r="N5">
        <f t="shared" ca="1" si="6"/>
        <v>25</v>
      </c>
    </row>
    <row r="6" spans="1:14" x14ac:dyDescent="0.3">
      <c r="A6">
        <f t="shared" ca="1" si="7"/>
        <v>4</v>
      </c>
      <c r="C6">
        <f ca="1">COUNTIF(A$2:A6,1)</f>
        <v>0</v>
      </c>
      <c r="D6">
        <f ca="1">COUNTIF($A$2:$A6,2)</f>
        <v>1</v>
      </c>
      <c r="E6">
        <f ca="1">COUNTIF($A$2:$A6,3)</f>
        <v>1</v>
      </c>
      <c r="F6">
        <f ca="1">COUNTIF($A$2:$A6,4)</f>
        <v>1</v>
      </c>
      <c r="G6">
        <f ca="1">COUNTIF($A$2:$A6,5)</f>
        <v>1</v>
      </c>
      <c r="H6">
        <f ca="1">COUNTIF($A$2:$A6,6)</f>
        <v>1</v>
      </c>
      <c r="I6">
        <f t="shared" ca="1" si="1"/>
        <v>0</v>
      </c>
      <c r="J6">
        <f t="shared" ca="1" si="2"/>
        <v>20</v>
      </c>
      <c r="K6">
        <f t="shared" ca="1" si="3"/>
        <v>20</v>
      </c>
      <c r="L6">
        <f t="shared" ca="1" si="4"/>
        <v>20</v>
      </c>
      <c r="M6">
        <f t="shared" ca="1" si="5"/>
        <v>20</v>
      </c>
      <c r="N6">
        <f t="shared" ca="1" si="6"/>
        <v>20</v>
      </c>
    </row>
    <row r="7" spans="1:14" x14ac:dyDescent="0.3">
      <c r="A7">
        <f t="shared" ca="1" si="7"/>
        <v>4</v>
      </c>
      <c r="C7">
        <f ca="1">COUNTIF(A$2:A7,1)</f>
        <v>0</v>
      </c>
      <c r="D7">
        <f ca="1">COUNTIF($A$2:$A7,2)</f>
        <v>1</v>
      </c>
      <c r="E7">
        <f ca="1">COUNTIF($A$2:$A7,3)</f>
        <v>1</v>
      </c>
      <c r="F7">
        <f ca="1">COUNTIF($A$2:$A7,4)</f>
        <v>2</v>
      </c>
      <c r="G7">
        <f ca="1">COUNTIF($A$2:$A7,5)</f>
        <v>1</v>
      </c>
      <c r="H7">
        <f ca="1">COUNTIF($A$2:$A7,6)</f>
        <v>1</v>
      </c>
      <c r="I7">
        <f t="shared" ca="1" si="1"/>
        <v>0</v>
      </c>
      <c r="J7">
        <f t="shared" ca="1" si="2"/>
        <v>16.666666666666664</v>
      </c>
      <c r="K7">
        <f t="shared" ca="1" si="3"/>
        <v>16.666666666666664</v>
      </c>
      <c r="L7">
        <f t="shared" ca="1" si="4"/>
        <v>33.333333333333329</v>
      </c>
      <c r="M7">
        <f t="shared" ca="1" si="5"/>
        <v>16.666666666666664</v>
      </c>
      <c r="N7">
        <f t="shared" ca="1" si="6"/>
        <v>16.666666666666664</v>
      </c>
    </row>
    <row r="8" spans="1:14" x14ac:dyDescent="0.3">
      <c r="A8">
        <f t="shared" ca="1" si="7"/>
        <v>2</v>
      </c>
      <c r="C8">
        <f ca="1">COUNTIF(A$2:A8,1)</f>
        <v>0</v>
      </c>
      <c r="D8">
        <f ca="1">COUNTIF($A$2:$A8,2)</f>
        <v>2</v>
      </c>
      <c r="E8">
        <f ca="1">COUNTIF($A$2:$A8,3)</f>
        <v>1</v>
      </c>
      <c r="F8">
        <f ca="1">COUNTIF($A$2:$A8,4)</f>
        <v>2</v>
      </c>
      <c r="G8">
        <f ca="1">COUNTIF($A$2:$A8,5)</f>
        <v>1</v>
      </c>
      <c r="H8">
        <f ca="1">COUNTIF($A$2:$A8,6)</f>
        <v>1</v>
      </c>
      <c r="I8">
        <f t="shared" ca="1" si="1"/>
        <v>0</v>
      </c>
      <c r="J8">
        <f t="shared" ca="1" si="2"/>
        <v>28.571428571428569</v>
      </c>
      <c r="K8">
        <f t="shared" ca="1" si="3"/>
        <v>14.285714285714285</v>
      </c>
      <c r="L8">
        <f t="shared" ca="1" si="4"/>
        <v>28.571428571428569</v>
      </c>
      <c r="M8">
        <f t="shared" ca="1" si="5"/>
        <v>14.285714285714285</v>
      </c>
      <c r="N8">
        <f t="shared" ca="1" si="6"/>
        <v>14.285714285714285</v>
      </c>
    </row>
    <row r="9" spans="1:14" x14ac:dyDescent="0.3">
      <c r="A9">
        <f t="shared" ca="1" si="7"/>
        <v>6</v>
      </c>
      <c r="C9">
        <f ca="1">COUNTIF(A$2:A9,1)</f>
        <v>0</v>
      </c>
      <c r="D9">
        <f ca="1">COUNTIF($A$2:$A9,2)</f>
        <v>2</v>
      </c>
      <c r="E9">
        <f ca="1">COUNTIF($A$2:$A9,3)</f>
        <v>1</v>
      </c>
      <c r="F9">
        <f ca="1">COUNTIF($A$2:$A9,4)</f>
        <v>2</v>
      </c>
      <c r="G9">
        <f ca="1">COUNTIF($A$2:$A9,5)</f>
        <v>1</v>
      </c>
      <c r="H9">
        <f ca="1">COUNTIF($A$2:$A9,6)</f>
        <v>2</v>
      </c>
      <c r="I9">
        <f t="shared" ca="1" si="1"/>
        <v>0</v>
      </c>
      <c r="J9">
        <f t="shared" ca="1" si="2"/>
        <v>25</v>
      </c>
      <c r="K9">
        <f t="shared" ca="1" si="3"/>
        <v>12.5</v>
      </c>
      <c r="L9">
        <f t="shared" ca="1" si="4"/>
        <v>25</v>
      </c>
      <c r="M9">
        <f t="shared" ca="1" si="5"/>
        <v>12.5</v>
      </c>
      <c r="N9">
        <f t="shared" ca="1" si="6"/>
        <v>25</v>
      </c>
    </row>
    <row r="10" spans="1:14" x14ac:dyDescent="0.3">
      <c r="A10">
        <f t="shared" ca="1" si="7"/>
        <v>5</v>
      </c>
      <c r="C10">
        <f ca="1">COUNTIF(A$2:A10,1)</f>
        <v>0</v>
      </c>
      <c r="D10">
        <f ca="1">COUNTIF($A$2:$A10,2)</f>
        <v>2</v>
      </c>
      <c r="E10">
        <f ca="1">COUNTIF($A$2:$A10,3)</f>
        <v>1</v>
      </c>
      <c r="F10">
        <f ca="1">COUNTIF($A$2:$A10,4)</f>
        <v>2</v>
      </c>
      <c r="G10">
        <f ca="1">COUNTIF($A$2:$A10,5)</f>
        <v>2</v>
      </c>
      <c r="H10">
        <f ca="1">COUNTIF($A$2:$A10,6)</f>
        <v>2</v>
      </c>
      <c r="I10">
        <f t="shared" ca="1" si="1"/>
        <v>0</v>
      </c>
      <c r="J10">
        <f t="shared" ca="1" si="2"/>
        <v>22.222222222222221</v>
      </c>
      <c r="K10">
        <f t="shared" ca="1" si="3"/>
        <v>11.111111111111111</v>
      </c>
      <c r="L10">
        <f t="shared" ca="1" si="4"/>
        <v>22.222222222222221</v>
      </c>
      <c r="M10">
        <f t="shared" ca="1" si="5"/>
        <v>22.222222222222221</v>
      </c>
      <c r="N10">
        <f t="shared" ca="1" si="6"/>
        <v>22.222222222222221</v>
      </c>
    </row>
    <row r="11" spans="1:14" x14ac:dyDescent="0.3">
      <c r="A11">
        <f t="shared" ca="1" si="7"/>
        <v>3</v>
      </c>
      <c r="C11">
        <f ca="1">COUNTIF(A$2:A11,1)</f>
        <v>0</v>
      </c>
      <c r="D11">
        <f ca="1">COUNTIF($A$2:$A11,2)</f>
        <v>2</v>
      </c>
      <c r="E11">
        <f ca="1">COUNTIF($A$2:$A11,3)</f>
        <v>2</v>
      </c>
      <c r="F11">
        <f ca="1">COUNTIF($A$2:$A11,4)</f>
        <v>2</v>
      </c>
      <c r="G11">
        <f ca="1">COUNTIF($A$2:$A11,5)</f>
        <v>2</v>
      </c>
      <c r="H11">
        <f ca="1">COUNTIF($A$2:$A11,6)</f>
        <v>2</v>
      </c>
      <c r="I11">
        <f t="shared" ca="1" si="1"/>
        <v>0</v>
      </c>
      <c r="J11">
        <f t="shared" ca="1" si="2"/>
        <v>20</v>
      </c>
      <c r="K11">
        <f t="shared" ca="1" si="3"/>
        <v>20</v>
      </c>
      <c r="L11">
        <f t="shared" ca="1" si="4"/>
        <v>20</v>
      </c>
      <c r="M11">
        <f t="shared" ca="1" si="5"/>
        <v>20</v>
      </c>
      <c r="N11">
        <f t="shared" ca="1" si="6"/>
        <v>20</v>
      </c>
    </row>
    <row r="12" spans="1:14" x14ac:dyDescent="0.3">
      <c r="A12">
        <f t="shared" ca="1" si="7"/>
        <v>5</v>
      </c>
      <c r="C12">
        <f ca="1">COUNTIF(A$2:A12,1)</f>
        <v>0</v>
      </c>
      <c r="D12">
        <f ca="1">COUNTIF($A$2:$A12,2)</f>
        <v>2</v>
      </c>
      <c r="E12">
        <f ca="1">COUNTIF($A$2:$A12,3)</f>
        <v>2</v>
      </c>
      <c r="F12">
        <f ca="1">COUNTIF($A$2:$A12,4)</f>
        <v>2</v>
      </c>
      <c r="G12">
        <f ca="1">COUNTIF($A$2:$A12,5)</f>
        <v>3</v>
      </c>
      <c r="H12">
        <f ca="1">COUNTIF($A$2:$A12,6)</f>
        <v>2</v>
      </c>
      <c r="I12">
        <f t="shared" ca="1" si="1"/>
        <v>0</v>
      </c>
      <c r="J12">
        <f t="shared" ca="1" si="2"/>
        <v>18.181818181818183</v>
      </c>
      <c r="K12">
        <f t="shared" ca="1" si="3"/>
        <v>18.181818181818183</v>
      </c>
      <c r="L12">
        <f t="shared" ca="1" si="4"/>
        <v>18.181818181818183</v>
      </c>
      <c r="M12">
        <f t="shared" ca="1" si="5"/>
        <v>27.27272727272727</v>
      </c>
      <c r="N12">
        <f t="shared" ca="1" si="6"/>
        <v>18.181818181818183</v>
      </c>
    </row>
    <row r="13" spans="1:14" x14ac:dyDescent="0.3">
      <c r="A13">
        <f t="shared" ca="1" si="7"/>
        <v>3</v>
      </c>
      <c r="C13">
        <f ca="1">COUNTIF(A$2:A13,1)</f>
        <v>0</v>
      </c>
      <c r="D13">
        <f ca="1">COUNTIF($A$2:$A13,2)</f>
        <v>2</v>
      </c>
      <c r="E13">
        <f ca="1">COUNTIF($A$2:$A13,3)</f>
        <v>3</v>
      </c>
      <c r="F13">
        <f ca="1">COUNTIF($A$2:$A13,4)</f>
        <v>2</v>
      </c>
      <c r="G13">
        <f ca="1">COUNTIF($A$2:$A13,5)</f>
        <v>3</v>
      </c>
      <c r="H13">
        <f ca="1">COUNTIF($A$2:$A13,6)</f>
        <v>2</v>
      </c>
      <c r="I13">
        <f t="shared" ca="1" si="1"/>
        <v>0</v>
      </c>
      <c r="J13">
        <f t="shared" ca="1" si="2"/>
        <v>16.666666666666664</v>
      </c>
      <c r="K13">
        <f t="shared" ca="1" si="3"/>
        <v>25</v>
      </c>
      <c r="L13">
        <f t="shared" ca="1" si="4"/>
        <v>16.666666666666664</v>
      </c>
      <c r="M13">
        <f t="shared" ca="1" si="5"/>
        <v>25</v>
      </c>
      <c r="N13">
        <f t="shared" ca="1" si="6"/>
        <v>16.666666666666664</v>
      </c>
    </row>
    <row r="14" spans="1:14" x14ac:dyDescent="0.3">
      <c r="A14">
        <f t="shared" ca="1" si="7"/>
        <v>4</v>
      </c>
      <c r="C14">
        <f ca="1">COUNTIF(A$2:A14,1)</f>
        <v>0</v>
      </c>
      <c r="D14">
        <f ca="1">COUNTIF($A$2:$A14,2)</f>
        <v>2</v>
      </c>
      <c r="E14">
        <f ca="1">COUNTIF($A$2:$A14,3)</f>
        <v>3</v>
      </c>
      <c r="F14">
        <f ca="1">COUNTIF($A$2:$A14,4)</f>
        <v>3</v>
      </c>
      <c r="G14">
        <f ca="1">COUNTIF($A$2:$A14,5)</f>
        <v>3</v>
      </c>
      <c r="H14">
        <f ca="1">COUNTIF($A$2:$A14,6)</f>
        <v>2</v>
      </c>
      <c r="I14">
        <f t="shared" ca="1" si="1"/>
        <v>0</v>
      </c>
      <c r="J14">
        <f t="shared" ca="1" si="2"/>
        <v>15.384615384615385</v>
      </c>
      <c r="K14">
        <f t="shared" ca="1" si="3"/>
        <v>23.076923076923077</v>
      </c>
      <c r="L14">
        <f t="shared" ca="1" si="4"/>
        <v>23.076923076923077</v>
      </c>
      <c r="M14">
        <f t="shared" ca="1" si="5"/>
        <v>23.076923076923077</v>
      </c>
      <c r="N14">
        <f t="shared" ca="1" si="6"/>
        <v>15.384615384615385</v>
      </c>
    </row>
    <row r="15" spans="1:14" x14ac:dyDescent="0.3">
      <c r="A15">
        <f t="shared" ca="1" si="7"/>
        <v>6</v>
      </c>
      <c r="C15">
        <f ca="1">COUNTIF(A$2:A15,1)</f>
        <v>0</v>
      </c>
      <c r="D15">
        <f ca="1">COUNTIF($A$2:$A15,2)</f>
        <v>2</v>
      </c>
      <c r="E15">
        <f ca="1">COUNTIF($A$2:$A15,3)</f>
        <v>3</v>
      </c>
      <c r="F15">
        <f ca="1">COUNTIF($A$2:$A15,4)</f>
        <v>3</v>
      </c>
      <c r="G15">
        <f ca="1">COUNTIF($A$2:$A15,5)</f>
        <v>3</v>
      </c>
      <c r="H15">
        <f ca="1">COUNTIF($A$2:$A15,6)</f>
        <v>3</v>
      </c>
      <c r="I15">
        <f t="shared" ca="1" si="1"/>
        <v>0</v>
      </c>
      <c r="J15">
        <f t="shared" ca="1" si="2"/>
        <v>14.285714285714285</v>
      </c>
      <c r="K15">
        <f t="shared" ca="1" si="3"/>
        <v>21.428571428571427</v>
      </c>
      <c r="L15">
        <f t="shared" ca="1" si="4"/>
        <v>21.428571428571427</v>
      </c>
      <c r="M15">
        <f t="shared" ca="1" si="5"/>
        <v>21.428571428571427</v>
      </c>
      <c r="N15">
        <f t="shared" ca="1" si="6"/>
        <v>21.428571428571427</v>
      </c>
    </row>
    <row r="16" spans="1:14" x14ac:dyDescent="0.3">
      <c r="A16">
        <f t="shared" ca="1" si="7"/>
        <v>4</v>
      </c>
      <c r="C16">
        <f ca="1">COUNTIF(A$2:A16,1)</f>
        <v>0</v>
      </c>
      <c r="D16">
        <f ca="1">COUNTIF($A$2:$A16,2)</f>
        <v>2</v>
      </c>
      <c r="E16">
        <f ca="1">COUNTIF($A$2:$A16,3)</f>
        <v>3</v>
      </c>
      <c r="F16">
        <f ca="1">COUNTIF($A$2:$A16,4)</f>
        <v>4</v>
      </c>
      <c r="G16">
        <f ca="1">COUNTIF($A$2:$A16,5)</f>
        <v>3</v>
      </c>
      <c r="H16">
        <f ca="1">COUNTIF($A$2:$A16,6)</f>
        <v>3</v>
      </c>
      <c r="I16">
        <f t="shared" ca="1" si="1"/>
        <v>0</v>
      </c>
      <c r="J16">
        <f t="shared" ca="1" si="2"/>
        <v>13.333333333333334</v>
      </c>
      <c r="K16">
        <f t="shared" ca="1" si="3"/>
        <v>20</v>
      </c>
      <c r="L16">
        <f t="shared" ca="1" si="4"/>
        <v>26.666666666666668</v>
      </c>
      <c r="M16">
        <f t="shared" ca="1" si="5"/>
        <v>20</v>
      </c>
      <c r="N16">
        <f t="shared" ca="1" si="6"/>
        <v>20</v>
      </c>
    </row>
    <row r="17" spans="1:14" x14ac:dyDescent="0.3">
      <c r="A17">
        <f t="shared" ca="1" si="7"/>
        <v>4</v>
      </c>
      <c r="C17">
        <f ca="1">COUNTIF(A$2:A17,1)</f>
        <v>0</v>
      </c>
      <c r="D17">
        <f ca="1">COUNTIF($A$2:$A17,2)</f>
        <v>2</v>
      </c>
      <c r="E17">
        <f ca="1">COUNTIF($A$2:$A17,3)</f>
        <v>3</v>
      </c>
      <c r="F17">
        <f ca="1">COUNTIF($A$2:$A17,4)</f>
        <v>5</v>
      </c>
      <c r="G17">
        <f ca="1">COUNTIF($A$2:$A17,5)</f>
        <v>3</v>
      </c>
      <c r="H17">
        <f ca="1">COUNTIF($A$2:$A17,6)</f>
        <v>3</v>
      </c>
      <c r="I17">
        <f t="shared" ca="1" si="1"/>
        <v>0</v>
      </c>
      <c r="J17">
        <f t="shared" ca="1" si="2"/>
        <v>12.5</v>
      </c>
      <c r="K17">
        <f t="shared" ca="1" si="3"/>
        <v>18.75</v>
      </c>
      <c r="L17">
        <f t="shared" ca="1" si="4"/>
        <v>31.25</v>
      </c>
      <c r="M17">
        <f t="shared" ca="1" si="5"/>
        <v>18.75</v>
      </c>
      <c r="N17">
        <f t="shared" ca="1" si="6"/>
        <v>18.75</v>
      </c>
    </row>
    <row r="18" spans="1:14" x14ac:dyDescent="0.3">
      <c r="A18">
        <f t="shared" ca="1" si="7"/>
        <v>6</v>
      </c>
      <c r="C18">
        <f ca="1">COUNTIF(A$2:A18,1)</f>
        <v>0</v>
      </c>
      <c r="D18">
        <f ca="1">COUNTIF($A$2:$A18,2)</f>
        <v>2</v>
      </c>
      <c r="E18">
        <f ca="1">COUNTIF($A$2:$A18,3)</f>
        <v>3</v>
      </c>
      <c r="F18">
        <f ca="1">COUNTIF($A$2:$A18,4)</f>
        <v>5</v>
      </c>
      <c r="G18">
        <f ca="1">COUNTIF($A$2:$A18,5)</f>
        <v>3</v>
      </c>
      <c r="H18">
        <f ca="1">COUNTIF($A$2:$A18,6)</f>
        <v>4</v>
      </c>
      <c r="I18">
        <f t="shared" ca="1" si="1"/>
        <v>0</v>
      </c>
      <c r="J18">
        <f t="shared" ca="1" si="2"/>
        <v>11.76470588235294</v>
      </c>
      <c r="K18">
        <f t="shared" ca="1" si="3"/>
        <v>17.647058823529413</v>
      </c>
      <c r="L18">
        <f t="shared" ca="1" si="4"/>
        <v>29.411764705882355</v>
      </c>
      <c r="M18">
        <f t="shared" ca="1" si="5"/>
        <v>17.647058823529413</v>
      </c>
      <c r="N18">
        <f t="shared" ca="1" si="6"/>
        <v>23.52941176470588</v>
      </c>
    </row>
    <row r="19" spans="1:14" x14ac:dyDescent="0.3">
      <c r="A19">
        <f t="shared" ca="1" si="7"/>
        <v>6</v>
      </c>
      <c r="C19">
        <f ca="1">COUNTIF(A$2:A19,1)</f>
        <v>0</v>
      </c>
      <c r="D19">
        <f ca="1">COUNTIF($A$2:$A19,2)</f>
        <v>2</v>
      </c>
      <c r="E19">
        <f ca="1">COUNTIF($A$2:$A19,3)</f>
        <v>3</v>
      </c>
      <c r="F19">
        <f ca="1">COUNTIF($A$2:$A19,4)</f>
        <v>5</v>
      </c>
      <c r="G19">
        <f ca="1">COUNTIF($A$2:$A19,5)</f>
        <v>3</v>
      </c>
      <c r="H19">
        <f ca="1">COUNTIF($A$2:$A19,6)</f>
        <v>5</v>
      </c>
      <c r="I19">
        <f t="shared" ca="1" si="1"/>
        <v>0</v>
      </c>
      <c r="J19">
        <f t="shared" ca="1" si="2"/>
        <v>11.111111111111111</v>
      </c>
      <c r="K19">
        <f t="shared" ca="1" si="3"/>
        <v>16.666666666666664</v>
      </c>
      <c r="L19">
        <f t="shared" ca="1" si="4"/>
        <v>27.777777777777779</v>
      </c>
      <c r="M19">
        <f t="shared" ca="1" si="5"/>
        <v>16.666666666666664</v>
      </c>
      <c r="N19">
        <f t="shared" ca="1" si="6"/>
        <v>27.777777777777779</v>
      </c>
    </row>
    <row r="20" spans="1:14" x14ac:dyDescent="0.3">
      <c r="A20">
        <f t="shared" ca="1" si="7"/>
        <v>2</v>
      </c>
      <c r="C20">
        <f ca="1">COUNTIF(A$2:A20,1)</f>
        <v>0</v>
      </c>
      <c r="D20">
        <f ca="1">COUNTIF($A$2:$A20,2)</f>
        <v>3</v>
      </c>
      <c r="E20">
        <f ca="1">COUNTIF($A$2:$A20,3)</f>
        <v>3</v>
      </c>
      <c r="F20">
        <f ca="1">COUNTIF($A$2:$A20,4)</f>
        <v>5</v>
      </c>
      <c r="G20">
        <f ca="1">COUNTIF($A$2:$A20,5)</f>
        <v>3</v>
      </c>
      <c r="H20">
        <f ca="1">COUNTIF($A$2:$A20,6)</f>
        <v>5</v>
      </c>
      <c r="I20">
        <f t="shared" ca="1" si="1"/>
        <v>0</v>
      </c>
      <c r="J20">
        <f t="shared" ca="1" si="2"/>
        <v>15.789473684210526</v>
      </c>
      <c r="K20">
        <f t="shared" ca="1" si="3"/>
        <v>15.789473684210526</v>
      </c>
      <c r="L20">
        <f t="shared" ca="1" si="4"/>
        <v>26.315789473684209</v>
      </c>
      <c r="M20">
        <f t="shared" ca="1" si="5"/>
        <v>15.789473684210526</v>
      </c>
      <c r="N20">
        <f t="shared" ca="1" si="6"/>
        <v>26.315789473684209</v>
      </c>
    </row>
    <row r="21" spans="1:14" x14ac:dyDescent="0.3">
      <c r="A21">
        <f t="shared" ca="1" si="7"/>
        <v>2</v>
      </c>
      <c r="C21">
        <f ca="1">COUNTIF(A$2:A21,1)</f>
        <v>0</v>
      </c>
      <c r="D21">
        <f ca="1">COUNTIF($A$2:$A21,2)</f>
        <v>4</v>
      </c>
      <c r="E21">
        <f ca="1">COUNTIF($A$2:$A21,3)</f>
        <v>3</v>
      </c>
      <c r="F21">
        <f ca="1">COUNTIF($A$2:$A21,4)</f>
        <v>5</v>
      </c>
      <c r="G21">
        <f ca="1">COUNTIF($A$2:$A21,5)</f>
        <v>3</v>
      </c>
      <c r="H21">
        <f ca="1">COUNTIF($A$2:$A21,6)</f>
        <v>5</v>
      </c>
      <c r="I21">
        <f t="shared" ca="1" si="1"/>
        <v>0</v>
      </c>
      <c r="J21">
        <f t="shared" ca="1" si="2"/>
        <v>20</v>
      </c>
      <c r="K21">
        <f t="shared" ca="1" si="3"/>
        <v>15</v>
      </c>
      <c r="L21">
        <f t="shared" ca="1" si="4"/>
        <v>25</v>
      </c>
      <c r="M21">
        <f t="shared" ca="1" si="5"/>
        <v>15</v>
      </c>
      <c r="N21">
        <f t="shared" ca="1" si="6"/>
        <v>25</v>
      </c>
    </row>
    <row r="22" spans="1:14" x14ac:dyDescent="0.3">
      <c r="A22">
        <f t="shared" ca="1" si="7"/>
        <v>5</v>
      </c>
      <c r="C22">
        <f ca="1">COUNTIF(A$2:A22,1)</f>
        <v>0</v>
      </c>
      <c r="D22">
        <f ca="1">COUNTIF($A$2:$A22,2)</f>
        <v>4</v>
      </c>
      <c r="E22">
        <f ca="1">COUNTIF($A$2:$A22,3)</f>
        <v>3</v>
      </c>
      <c r="F22">
        <f ca="1">COUNTIF($A$2:$A22,4)</f>
        <v>5</v>
      </c>
      <c r="G22">
        <f ca="1">COUNTIF($A$2:$A22,5)</f>
        <v>4</v>
      </c>
      <c r="H22">
        <f ca="1">COUNTIF($A$2:$A22,6)</f>
        <v>5</v>
      </c>
      <c r="I22">
        <f t="shared" ca="1" si="1"/>
        <v>0</v>
      </c>
      <c r="J22">
        <f t="shared" ca="1" si="2"/>
        <v>19.047619047619047</v>
      </c>
      <c r="K22">
        <f t="shared" ca="1" si="3"/>
        <v>14.285714285714285</v>
      </c>
      <c r="L22">
        <f t="shared" ca="1" si="4"/>
        <v>23.809523809523807</v>
      </c>
      <c r="M22">
        <f t="shared" ca="1" si="5"/>
        <v>19.047619047619047</v>
      </c>
      <c r="N22">
        <f t="shared" ca="1" si="6"/>
        <v>23.809523809523807</v>
      </c>
    </row>
    <row r="23" spans="1:14" x14ac:dyDescent="0.3">
      <c r="A23">
        <f t="shared" ca="1" si="7"/>
        <v>3</v>
      </c>
      <c r="C23">
        <f ca="1">COUNTIF(A$2:A23,1)</f>
        <v>0</v>
      </c>
      <c r="D23">
        <f ca="1">COUNTIF($A$2:$A23,2)</f>
        <v>4</v>
      </c>
      <c r="E23">
        <f ca="1">COUNTIF($A$2:$A23,3)</f>
        <v>4</v>
      </c>
      <c r="F23">
        <f ca="1">COUNTIF($A$2:$A23,4)</f>
        <v>5</v>
      </c>
      <c r="G23">
        <f ca="1">COUNTIF($A$2:$A23,5)</f>
        <v>4</v>
      </c>
      <c r="H23">
        <f ca="1">COUNTIF($A$2:$A23,6)</f>
        <v>5</v>
      </c>
      <c r="I23">
        <f t="shared" ca="1" si="1"/>
        <v>0</v>
      </c>
      <c r="J23">
        <f t="shared" ca="1" si="2"/>
        <v>18.181818181818183</v>
      </c>
      <c r="K23">
        <f t="shared" ca="1" si="3"/>
        <v>18.181818181818183</v>
      </c>
      <c r="L23">
        <f t="shared" ca="1" si="4"/>
        <v>22.727272727272727</v>
      </c>
      <c r="M23">
        <f t="shared" ca="1" si="5"/>
        <v>18.181818181818183</v>
      </c>
      <c r="N23">
        <f t="shared" ca="1" si="6"/>
        <v>22.727272727272727</v>
      </c>
    </row>
    <row r="24" spans="1:14" x14ac:dyDescent="0.3">
      <c r="A24">
        <f t="shared" ca="1" si="7"/>
        <v>4</v>
      </c>
      <c r="C24">
        <f ca="1">COUNTIF(A$2:A24,1)</f>
        <v>0</v>
      </c>
      <c r="D24">
        <f ca="1">COUNTIF($A$2:$A24,2)</f>
        <v>4</v>
      </c>
      <c r="E24">
        <f ca="1">COUNTIF($A$2:$A24,3)</f>
        <v>4</v>
      </c>
      <c r="F24">
        <f ca="1">COUNTIF($A$2:$A24,4)</f>
        <v>6</v>
      </c>
      <c r="G24">
        <f ca="1">COUNTIF($A$2:$A24,5)</f>
        <v>4</v>
      </c>
      <c r="H24">
        <f ca="1">COUNTIF($A$2:$A24,6)</f>
        <v>5</v>
      </c>
      <c r="I24">
        <f t="shared" ca="1" si="1"/>
        <v>0</v>
      </c>
      <c r="J24">
        <f t="shared" ca="1" si="2"/>
        <v>17.391304347826086</v>
      </c>
      <c r="K24">
        <f t="shared" ca="1" si="3"/>
        <v>17.391304347826086</v>
      </c>
      <c r="L24">
        <f t="shared" ca="1" si="4"/>
        <v>26.086956521739129</v>
      </c>
      <c r="M24">
        <f t="shared" ca="1" si="5"/>
        <v>17.391304347826086</v>
      </c>
      <c r="N24">
        <f t="shared" ca="1" si="6"/>
        <v>21.739130434782609</v>
      </c>
    </row>
    <row r="25" spans="1:14" x14ac:dyDescent="0.3">
      <c r="A25">
        <f t="shared" ca="1" si="7"/>
        <v>2</v>
      </c>
      <c r="C25">
        <f ca="1">COUNTIF(A$2:A25,1)</f>
        <v>0</v>
      </c>
      <c r="D25">
        <f ca="1">COUNTIF($A$2:$A25,2)</f>
        <v>5</v>
      </c>
      <c r="E25">
        <f ca="1">COUNTIF($A$2:$A25,3)</f>
        <v>4</v>
      </c>
      <c r="F25">
        <f ca="1">COUNTIF($A$2:$A25,4)</f>
        <v>6</v>
      </c>
      <c r="G25">
        <f ca="1">COUNTIF($A$2:$A25,5)</f>
        <v>4</v>
      </c>
      <c r="H25">
        <f ca="1">COUNTIF($A$2:$A25,6)</f>
        <v>5</v>
      </c>
      <c r="I25">
        <f t="shared" ca="1" si="1"/>
        <v>0</v>
      </c>
      <c r="J25">
        <f t="shared" ca="1" si="2"/>
        <v>20.833333333333336</v>
      </c>
      <c r="K25">
        <f t="shared" ca="1" si="3"/>
        <v>16.666666666666664</v>
      </c>
      <c r="L25">
        <f t="shared" ca="1" si="4"/>
        <v>25</v>
      </c>
      <c r="M25">
        <f t="shared" ca="1" si="5"/>
        <v>16.666666666666664</v>
      </c>
      <c r="N25">
        <f t="shared" ca="1" si="6"/>
        <v>20.833333333333336</v>
      </c>
    </row>
    <row r="26" spans="1:14" x14ac:dyDescent="0.3">
      <c r="A26">
        <f t="shared" ca="1" si="7"/>
        <v>2</v>
      </c>
      <c r="C26">
        <f ca="1">COUNTIF(A$2:A26,1)</f>
        <v>0</v>
      </c>
      <c r="D26">
        <f ca="1">COUNTIF($A$2:$A26,2)</f>
        <v>6</v>
      </c>
      <c r="E26">
        <f ca="1">COUNTIF($A$2:$A26,3)</f>
        <v>4</v>
      </c>
      <c r="F26">
        <f ca="1">COUNTIF($A$2:$A26,4)</f>
        <v>6</v>
      </c>
      <c r="G26">
        <f ca="1">COUNTIF($A$2:$A26,5)</f>
        <v>4</v>
      </c>
      <c r="H26">
        <f ca="1">COUNTIF($A$2:$A26,6)</f>
        <v>5</v>
      </c>
      <c r="I26">
        <f t="shared" ca="1" si="1"/>
        <v>0</v>
      </c>
      <c r="J26">
        <f t="shared" ca="1" si="2"/>
        <v>24</v>
      </c>
      <c r="K26">
        <f t="shared" ca="1" si="3"/>
        <v>16</v>
      </c>
      <c r="L26">
        <f t="shared" ca="1" si="4"/>
        <v>24</v>
      </c>
      <c r="M26">
        <f t="shared" ca="1" si="5"/>
        <v>16</v>
      </c>
      <c r="N26">
        <f t="shared" ca="1" si="6"/>
        <v>20</v>
      </c>
    </row>
    <row r="27" spans="1:14" x14ac:dyDescent="0.3">
      <c r="A27">
        <f t="shared" ca="1" si="7"/>
        <v>3</v>
      </c>
      <c r="C27">
        <f ca="1">COUNTIF(A$2:A27,1)</f>
        <v>0</v>
      </c>
      <c r="D27">
        <f ca="1">COUNTIF($A$2:$A27,2)</f>
        <v>6</v>
      </c>
      <c r="E27">
        <f ca="1">COUNTIF($A$2:$A27,3)</f>
        <v>5</v>
      </c>
      <c r="F27">
        <f ca="1">COUNTIF($A$2:$A27,4)</f>
        <v>6</v>
      </c>
      <c r="G27">
        <f ca="1">COUNTIF($A$2:$A27,5)</f>
        <v>4</v>
      </c>
      <c r="H27">
        <f ca="1">COUNTIF($A$2:$A27,6)</f>
        <v>5</v>
      </c>
      <c r="I27">
        <f t="shared" ca="1" si="1"/>
        <v>0</v>
      </c>
      <c r="J27">
        <f t="shared" ca="1" si="2"/>
        <v>23.076923076923077</v>
      </c>
      <c r="K27">
        <f t="shared" ca="1" si="3"/>
        <v>19.230769230769234</v>
      </c>
      <c r="L27">
        <f t="shared" ca="1" si="4"/>
        <v>23.076923076923077</v>
      </c>
      <c r="M27">
        <f t="shared" ca="1" si="5"/>
        <v>15.384615384615385</v>
      </c>
      <c r="N27">
        <f t="shared" ca="1" si="6"/>
        <v>19.230769230769234</v>
      </c>
    </row>
    <row r="28" spans="1:14" x14ac:dyDescent="0.3">
      <c r="A28">
        <f t="shared" ca="1" si="7"/>
        <v>1</v>
      </c>
      <c r="C28">
        <f ca="1">COUNTIF(A$2:A28,1)</f>
        <v>1</v>
      </c>
      <c r="D28">
        <f ca="1">COUNTIF($A$2:$A28,2)</f>
        <v>6</v>
      </c>
      <c r="E28">
        <f ca="1">COUNTIF($A$2:$A28,3)</f>
        <v>5</v>
      </c>
      <c r="F28">
        <f ca="1">COUNTIF($A$2:$A28,4)</f>
        <v>6</v>
      </c>
      <c r="G28">
        <f ca="1">COUNTIF($A$2:$A28,5)</f>
        <v>4</v>
      </c>
      <c r="H28">
        <f ca="1">COUNTIF($A$2:$A28,6)</f>
        <v>5</v>
      </c>
      <c r="I28">
        <f t="shared" ca="1" si="1"/>
        <v>3.7037037037037033</v>
      </c>
      <c r="J28">
        <f t="shared" ca="1" si="2"/>
        <v>22.222222222222221</v>
      </c>
      <c r="K28">
        <f t="shared" ca="1" si="3"/>
        <v>18.518518518518519</v>
      </c>
      <c r="L28">
        <f t="shared" ca="1" si="4"/>
        <v>22.222222222222221</v>
      </c>
      <c r="M28">
        <f t="shared" ca="1" si="5"/>
        <v>14.814814814814813</v>
      </c>
      <c r="N28">
        <f t="shared" ca="1" si="6"/>
        <v>18.518518518518519</v>
      </c>
    </row>
    <row r="29" spans="1:14" x14ac:dyDescent="0.3">
      <c r="A29">
        <f t="shared" ca="1" si="7"/>
        <v>5</v>
      </c>
      <c r="C29">
        <f ca="1">COUNTIF(A$2:A29,1)</f>
        <v>1</v>
      </c>
      <c r="D29">
        <f ca="1">COUNTIF($A$2:$A29,2)</f>
        <v>6</v>
      </c>
      <c r="E29">
        <f ca="1">COUNTIF($A$2:$A29,3)</f>
        <v>5</v>
      </c>
      <c r="F29">
        <f ca="1">COUNTIF($A$2:$A29,4)</f>
        <v>6</v>
      </c>
      <c r="G29">
        <f ca="1">COUNTIF($A$2:$A29,5)</f>
        <v>5</v>
      </c>
      <c r="H29">
        <f ca="1">COUNTIF($A$2:$A29,6)</f>
        <v>5</v>
      </c>
      <c r="I29">
        <f t="shared" ca="1" si="1"/>
        <v>3.5714285714285712</v>
      </c>
      <c r="J29">
        <f t="shared" ca="1" si="2"/>
        <v>21.428571428571427</v>
      </c>
      <c r="K29">
        <f t="shared" ca="1" si="3"/>
        <v>17.857142857142858</v>
      </c>
      <c r="L29">
        <f t="shared" ca="1" si="4"/>
        <v>21.428571428571427</v>
      </c>
      <c r="M29">
        <f t="shared" ca="1" si="5"/>
        <v>17.857142857142858</v>
      </c>
      <c r="N29">
        <f t="shared" ca="1" si="6"/>
        <v>17.857142857142858</v>
      </c>
    </row>
    <row r="30" spans="1:14" x14ac:dyDescent="0.3">
      <c r="A30">
        <f t="shared" ca="1" si="7"/>
        <v>6</v>
      </c>
      <c r="C30">
        <f ca="1">COUNTIF(A$2:A30,1)</f>
        <v>1</v>
      </c>
      <c r="D30">
        <f ca="1">COUNTIF($A$2:$A30,2)</f>
        <v>6</v>
      </c>
      <c r="E30">
        <f ca="1">COUNTIF($A$2:$A30,3)</f>
        <v>5</v>
      </c>
      <c r="F30">
        <f ca="1">COUNTIF($A$2:$A30,4)</f>
        <v>6</v>
      </c>
      <c r="G30">
        <f ca="1">COUNTIF($A$2:$A30,5)</f>
        <v>5</v>
      </c>
      <c r="H30">
        <f ca="1">COUNTIF($A$2:$A30,6)</f>
        <v>6</v>
      </c>
      <c r="I30">
        <f t="shared" ca="1" si="1"/>
        <v>3.4482758620689653</v>
      </c>
      <c r="J30">
        <f t="shared" ca="1" si="2"/>
        <v>20.689655172413794</v>
      </c>
      <c r="K30">
        <f t="shared" ca="1" si="3"/>
        <v>17.241379310344829</v>
      </c>
      <c r="L30">
        <f t="shared" ca="1" si="4"/>
        <v>20.689655172413794</v>
      </c>
      <c r="M30">
        <f t="shared" ca="1" si="5"/>
        <v>17.241379310344829</v>
      </c>
      <c r="N30">
        <f t="shared" ca="1" si="6"/>
        <v>20.689655172413794</v>
      </c>
    </row>
    <row r="31" spans="1:14" x14ac:dyDescent="0.3">
      <c r="A31">
        <f t="shared" ca="1" si="7"/>
        <v>5</v>
      </c>
      <c r="C31">
        <f ca="1">COUNTIF(A$2:A31,1)</f>
        <v>1</v>
      </c>
      <c r="D31">
        <f ca="1">COUNTIF($A$2:$A31,2)</f>
        <v>6</v>
      </c>
      <c r="E31">
        <f ca="1">COUNTIF($A$2:$A31,3)</f>
        <v>5</v>
      </c>
      <c r="F31">
        <f ca="1">COUNTIF($A$2:$A31,4)</f>
        <v>6</v>
      </c>
      <c r="G31">
        <f ca="1">COUNTIF($A$2:$A31,5)</f>
        <v>6</v>
      </c>
      <c r="H31">
        <f ca="1">COUNTIF($A$2:$A31,6)</f>
        <v>6</v>
      </c>
      <c r="I31">
        <f t="shared" ca="1" si="1"/>
        <v>3.3333333333333335</v>
      </c>
      <c r="J31">
        <f t="shared" ca="1" si="2"/>
        <v>20</v>
      </c>
      <c r="K31">
        <f t="shared" ca="1" si="3"/>
        <v>16.666666666666664</v>
      </c>
      <c r="L31">
        <f t="shared" ca="1" si="4"/>
        <v>20</v>
      </c>
      <c r="M31">
        <f t="shared" ca="1" si="5"/>
        <v>20</v>
      </c>
      <c r="N31">
        <f t="shared" ca="1" si="6"/>
        <v>20</v>
      </c>
    </row>
    <row r="32" spans="1:14" x14ac:dyDescent="0.3">
      <c r="A32">
        <f t="shared" ca="1" si="7"/>
        <v>1</v>
      </c>
      <c r="C32">
        <f ca="1">COUNTIF(A$2:A32,1)</f>
        <v>2</v>
      </c>
      <c r="D32">
        <f ca="1">COUNTIF($A$2:$A32,2)</f>
        <v>6</v>
      </c>
      <c r="E32">
        <f ca="1">COUNTIF($A$2:$A32,3)</f>
        <v>5</v>
      </c>
      <c r="F32">
        <f ca="1">COUNTIF($A$2:$A32,4)</f>
        <v>6</v>
      </c>
      <c r="G32">
        <f ca="1">COUNTIF($A$2:$A32,5)</f>
        <v>6</v>
      </c>
      <c r="H32">
        <f ca="1">COUNTIF($A$2:$A32,6)</f>
        <v>6</v>
      </c>
      <c r="I32">
        <f t="shared" ca="1" si="1"/>
        <v>6.4516129032258061</v>
      </c>
      <c r="J32">
        <f t="shared" ca="1" si="2"/>
        <v>19.35483870967742</v>
      </c>
      <c r="K32">
        <f t="shared" ca="1" si="3"/>
        <v>16.129032258064516</v>
      </c>
      <c r="L32">
        <f t="shared" ca="1" si="4"/>
        <v>19.35483870967742</v>
      </c>
      <c r="M32">
        <f t="shared" ca="1" si="5"/>
        <v>19.35483870967742</v>
      </c>
      <c r="N32">
        <f t="shared" ca="1" si="6"/>
        <v>19.35483870967742</v>
      </c>
    </row>
    <row r="33" spans="1:14" x14ac:dyDescent="0.3">
      <c r="A33">
        <f t="shared" ca="1" si="7"/>
        <v>5</v>
      </c>
      <c r="C33">
        <f ca="1">COUNTIF(A$2:A33,1)</f>
        <v>2</v>
      </c>
      <c r="D33">
        <f ca="1">COUNTIF($A$2:$A33,2)</f>
        <v>6</v>
      </c>
      <c r="E33">
        <f ca="1">COUNTIF($A$2:$A33,3)</f>
        <v>5</v>
      </c>
      <c r="F33">
        <f ca="1">COUNTIF($A$2:$A33,4)</f>
        <v>6</v>
      </c>
      <c r="G33">
        <f ca="1">COUNTIF($A$2:$A33,5)</f>
        <v>7</v>
      </c>
      <c r="H33">
        <f ca="1">COUNTIF($A$2:$A33,6)</f>
        <v>6</v>
      </c>
      <c r="I33">
        <f t="shared" ca="1" si="1"/>
        <v>6.25</v>
      </c>
      <c r="J33">
        <f t="shared" ca="1" si="2"/>
        <v>18.75</v>
      </c>
      <c r="K33">
        <f t="shared" ca="1" si="3"/>
        <v>15.625</v>
      </c>
      <c r="L33">
        <f t="shared" ca="1" si="4"/>
        <v>18.75</v>
      </c>
      <c r="M33">
        <f t="shared" ca="1" si="5"/>
        <v>21.875</v>
      </c>
      <c r="N33">
        <f t="shared" ca="1" si="6"/>
        <v>18.75</v>
      </c>
    </row>
    <row r="34" spans="1:14" x14ac:dyDescent="0.3">
      <c r="A34">
        <f t="shared" ca="1" si="7"/>
        <v>2</v>
      </c>
      <c r="C34">
        <f ca="1">COUNTIF(A$2:A34,1)</f>
        <v>2</v>
      </c>
      <c r="D34">
        <f ca="1">COUNTIF($A$2:$A34,2)</f>
        <v>7</v>
      </c>
      <c r="E34">
        <f ca="1">COUNTIF($A$2:$A34,3)</f>
        <v>5</v>
      </c>
      <c r="F34">
        <f ca="1">COUNTIF($A$2:$A34,4)</f>
        <v>6</v>
      </c>
      <c r="G34">
        <f ca="1">COUNTIF($A$2:$A34,5)</f>
        <v>7</v>
      </c>
      <c r="H34">
        <f ca="1">COUNTIF($A$2:$A34,6)</f>
        <v>6</v>
      </c>
      <c r="I34">
        <f t="shared" ca="1" si="1"/>
        <v>6.0606060606060606</v>
      </c>
      <c r="J34">
        <f t="shared" ca="1" si="2"/>
        <v>21.212121212121211</v>
      </c>
      <c r="K34">
        <f t="shared" ca="1" si="3"/>
        <v>15.151515151515152</v>
      </c>
      <c r="L34">
        <f t="shared" ca="1" si="4"/>
        <v>18.181818181818183</v>
      </c>
      <c r="M34">
        <f t="shared" ca="1" si="5"/>
        <v>21.212121212121211</v>
      </c>
      <c r="N34">
        <f t="shared" ca="1" si="6"/>
        <v>18.181818181818183</v>
      </c>
    </row>
    <row r="35" spans="1:14" x14ac:dyDescent="0.3">
      <c r="A35">
        <f t="shared" ca="1" si="7"/>
        <v>4</v>
      </c>
      <c r="C35">
        <f ca="1">COUNTIF(A$2:A35,1)</f>
        <v>2</v>
      </c>
      <c r="D35">
        <f ca="1">COUNTIF($A$2:$A35,2)</f>
        <v>7</v>
      </c>
      <c r="E35">
        <f ca="1">COUNTIF($A$2:$A35,3)</f>
        <v>5</v>
      </c>
      <c r="F35">
        <f ca="1">COUNTIF($A$2:$A35,4)</f>
        <v>7</v>
      </c>
      <c r="G35">
        <f ca="1">COUNTIF($A$2:$A35,5)</f>
        <v>7</v>
      </c>
      <c r="H35">
        <f ca="1">COUNTIF($A$2:$A35,6)</f>
        <v>6</v>
      </c>
      <c r="I35">
        <f t="shared" ca="1" si="1"/>
        <v>5.8823529411764701</v>
      </c>
      <c r="J35">
        <f t="shared" ca="1" si="2"/>
        <v>20.588235294117645</v>
      </c>
      <c r="K35">
        <f t="shared" ca="1" si="3"/>
        <v>14.705882352941178</v>
      </c>
      <c r="L35">
        <f t="shared" ca="1" si="4"/>
        <v>20.588235294117645</v>
      </c>
      <c r="M35">
        <f t="shared" ca="1" si="5"/>
        <v>20.588235294117645</v>
      </c>
      <c r="N35">
        <f t="shared" ca="1" si="6"/>
        <v>17.647058823529413</v>
      </c>
    </row>
    <row r="36" spans="1:14" x14ac:dyDescent="0.3">
      <c r="A36">
        <f t="shared" ca="1" si="7"/>
        <v>3</v>
      </c>
      <c r="C36">
        <f ca="1">COUNTIF(A$2:A36,1)</f>
        <v>2</v>
      </c>
      <c r="D36">
        <f ca="1">COUNTIF($A$2:$A36,2)</f>
        <v>7</v>
      </c>
      <c r="E36">
        <f ca="1">COUNTIF($A$2:$A36,3)</f>
        <v>6</v>
      </c>
      <c r="F36">
        <f ca="1">COUNTIF($A$2:$A36,4)</f>
        <v>7</v>
      </c>
      <c r="G36">
        <f ca="1">COUNTIF($A$2:$A36,5)</f>
        <v>7</v>
      </c>
      <c r="H36">
        <f ca="1">COUNTIF($A$2:$A36,6)</f>
        <v>6</v>
      </c>
      <c r="I36">
        <f t="shared" ca="1" si="1"/>
        <v>5.7142857142857144</v>
      </c>
      <c r="J36">
        <f t="shared" ca="1" si="2"/>
        <v>20</v>
      </c>
      <c r="K36">
        <f t="shared" ca="1" si="3"/>
        <v>17.142857142857142</v>
      </c>
      <c r="L36">
        <f t="shared" ca="1" si="4"/>
        <v>20</v>
      </c>
      <c r="M36">
        <f t="shared" ca="1" si="5"/>
        <v>20</v>
      </c>
      <c r="N36">
        <f t="shared" ca="1" si="6"/>
        <v>17.142857142857142</v>
      </c>
    </row>
    <row r="37" spans="1:14" x14ac:dyDescent="0.3">
      <c r="A37">
        <f t="shared" ca="1" si="7"/>
        <v>2</v>
      </c>
      <c r="C37">
        <f ca="1">COUNTIF(A$2:A37,1)</f>
        <v>2</v>
      </c>
      <c r="D37">
        <f ca="1">COUNTIF($A$2:$A37,2)</f>
        <v>8</v>
      </c>
      <c r="E37">
        <f ca="1">COUNTIF($A$2:$A37,3)</f>
        <v>6</v>
      </c>
      <c r="F37">
        <f ca="1">COUNTIF($A$2:$A37,4)</f>
        <v>7</v>
      </c>
      <c r="G37">
        <f ca="1">COUNTIF($A$2:$A37,5)</f>
        <v>7</v>
      </c>
      <c r="H37">
        <f ca="1">COUNTIF($A$2:$A37,6)</f>
        <v>6</v>
      </c>
      <c r="I37">
        <f t="shared" ca="1" si="1"/>
        <v>5.5555555555555554</v>
      </c>
      <c r="J37">
        <f t="shared" ca="1" si="2"/>
        <v>22.222222222222221</v>
      </c>
      <c r="K37">
        <f t="shared" ca="1" si="3"/>
        <v>16.666666666666664</v>
      </c>
      <c r="L37">
        <f t="shared" ca="1" si="4"/>
        <v>19.444444444444446</v>
      </c>
      <c r="M37">
        <f t="shared" ca="1" si="5"/>
        <v>19.444444444444446</v>
      </c>
      <c r="N37">
        <f t="shared" ca="1" si="6"/>
        <v>16.666666666666664</v>
      </c>
    </row>
    <row r="38" spans="1:14" x14ac:dyDescent="0.3">
      <c r="A38">
        <f t="shared" ca="1" si="7"/>
        <v>2</v>
      </c>
      <c r="C38">
        <f ca="1">COUNTIF(A$2:A38,1)</f>
        <v>2</v>
      </c>
      <c r="D38">
        <f ca="1">COUNTIF($A$2:$A38,2)</f>
        <v>9</v>
      </c>
      <c r="E38">
        <f ca="1">COUNTIF($A$2:$A38,3)</f>
        <v>6</v>
      </c>
      <c r="F38">
        <f ca="1">COUNTIF($A$2:$A38,4)</f>
        <v>7</v>
      </c>
      <c r="G38">
        <f ca="1">COUNTIF($A$2:$A38,5)</f>
        <v>7</v>
      </c>
      <c r="H38">
        <f ca="1">COUNTIF($A$2:$A38,6)</f>
        <v>6</v>
      </c>
      <c r="I38">
        <f t="shared" ca="1" si="1"/>
        <v>5.4054054054054053</v>
      </c>
      <c r="J38">
        <f t="shared" ca="1" si="2"/>
        <v>24.324324324324326</v>
      </c>
      <c r="K38">
        <f t="shared" ca="1" si="3"/>
        <v>16.216216216216218</v>
      </c>
      <c r="L38">
        <f t="shared" ca="1" si="4"/>
        <v>18.918918918918919</v>
      </c>
      <c r="M38">
        <f t="shared" ca="1" si="5"/>
        <v>18.918918918918919</v>
      </c>
      <c r="N38">
        <f t="shared" ca="1" si="6"/>
        <v>16.216216216216218</v>
      </c>
    </row>
    <row r="39" spans="1:14" x14ac:dyDescent="0.3">
      <c r="A39">
        <f t="shared" ca="1" si="7"/>
        <v>2</v>
      </c>
      <c r="C39">
        <f ca="1">COUNTIF(A$2:A39,1)</f>
        <v>2</v>
      </c>
      <c r="D39">
        <f ca="1">COUNTIF($A$2:$A39,2)</f>
        <v>10</v>
      </c>
      <c r="E39">
        <f ca="1">COUNTIF($A$2:$A39,3)</f>
        <v>6</v>
      </c>
      <c r="F39">
        <f ca="1">COUNTIF($A$2:$A39,4)</f>
        <v>7</v>
      </c>
      <c r="G39">
        <f ca="1">COUNTIF($A$2:$A39,5)</f>
        <v>7</v>
      </c>
      <c r="H39">
        <f ca="1">COUNTIF($A$2:$A39,6)</f>
        <v>6</v>
      </c>
      <c r="I39">
        <f t="shared" ca="1" si="1"/>
        <v>5.2631578947368416</v>
      </c>
      <c r="J39">
        <f t="shared" ca="1" si="2"/>
        <v>26.315789473684209</v>
      </c>
      <c r="K39">
        <f t="shared" ca="1" si="3"/>
        <v>15.789473684210526</v>
      </c>
      <c r="L39">
        <f t="shared" ca="1" si="4"/>
        <v>18.421052631578945</v>
      </c>
      <c r="M39">
        <f t="shared" ca="1" si="5"/>
        <v>18.421052631578945</v>
      </c>
      <c r="N39">
        <f t="shared" ca="1" si="6"/>
        <v>15.789473684210526</v>
      </c>
    </row>
    <row r="40" spans="1:14" x14ac:dyDescent="0.3">
      <c r="A40">
        <f t="shared" ca="1" si="7"/>
        <v>1</v>
      </c>
      <c r="C40">
        <f ca="1">COUNTIF(A$2:A40,1)</f>
        <v>3</v>
      </c>
      <c r="D40">
        <f ca="1">COUNTIF($A$2:$A40,2)</f>
        <v>10</v>
      </c>
      <c r="E40">
        <f ca="1">COUNTIF($A$2:$A40,3)</f>
        <v>6</v>
      </c>
      <c r="F40">
        <f ca="1">COUNTIF($A$2:$A40,4)</f>
        <v>7</v>
      </c>
      <c r="G40">
        <f ca="1">COUNTIF($A$2:$A40,5)</f>
        <v>7</v>
      </c>
      <c r="H40">
        <f ca="1">COUNTIF($A$2:$A40,6)</f>
        <v>6</v>
      </c>
      <c r="I40">
        <f t="shared" ca="1" si="1"/>
        <v>7.6923076923076925</v>
      </c>
      <c r="J40">
        <f t="shared" ca="1" si="2"/>
        <v>25.641025641025639</v>
      </c>
      <c r="K40">
        <f t="shared" ca="1" si="3"/>
        <v>15.384615384615385</v>
      </c>
      <c r="L40">
        <f t="shared" ca="1" si="4"/>
        <v>17.948717948717949</v>
      </c>
      <c r="M40">
        <f t="shared" ca="1" si="5"/>
        <v>17.948717948717949</v>
      </c>
      <c r="N40">
        <f t="shared" ca="1" si="6"/>
        <v>15.384615384615385</v>
      </c>
    </row>
    <row r="41" spans="1:14" x14ac:dyDescent="0.3">
      <c r="A41">
        <f t="shared" ca="1" si="7"/>
        <v>5</v>
      </c>
      <c r="C41">
        <f ca="1">COUNTIF(A$2:A41,1)</f>
        <v>3</v>
      </c>
      <c r="D41">
        <f ca="1">COUNTIF($A$2:$A41,2)</f>
        <v>10</v>
      </c>
      <c r="E41">
        <f ca="1">COUNTIF($A$2:$A41,3)</f>
        <v>6</v>
      </c>
      <c r="F41">
        <f ca="1">COUNTIF($A$2:$A41,4)</f>
        <v>7</v>
      </c>
      <c r="G41">
        <f ca="1">COUNTIF($A$2:$A41,5)</f>
        <v>8</v>
      </c>
      <c r="H41">
        <f ca="1">COUNTIF($A$2:$A41,6)</f>
        <v>6</v>
      </c>
      <c r="I41">
        <f t="shared" ca="1" si="1"/>
        <v>7.5</v>
      </c>
      <c r="J41">
        <f t="shared" ca="1" si="2"/>
        <v>25</v>
      </c>
      <c r="K41">
        <f t="shared" ca="1" si="3"/>
        <v>15</v>
      </c>
      <c r="L41">
        <f t="shared" ca="1" si="4"/>
        <v>17.5</v>
      </c>
      <c r="M41">
        <f t="shared" ca="1" si="5"/>
        <v>20</v>
      </c>
      <c r="N41">
        <f t="shared" ca="1" si="6"/>
        <v>15</v>
      </c>
    </row>
    <row r="42" spans="1:14" x14ac:dyDescent="0.3">
      <c r="A42">
        <f t="shared" ca="1" si="7"/>
        <v>6</v>
      </c>
      <c r="C42">
        <f ca="1">COUNTIF(A$2:A42,1)</f>
        <v>3</v>
      </c>
      <c r="D42">
        <f ca="1">COUNTIF($A$2:$A42,2)</f>
        <v>10</v>
      </c>
      <c r="E42">
        <f ca="1">COUNTIF($A$2:$A42,3)</f>
        <v>6</v>
      </c>
      <c r="F42">
        <f ca="1">COUNTIF($A$2:$A42,4)</f>
        <v>7</v>
      </c>
      <c r="G42">
        <f ca="1">COUNTIF($A$2:$A42,5)</f>
        <v>8</v>
      </c>
      <c r="H42">
        <f ca="1">COUNTIF($A$2:$A42,6)</f>
        <v>7</v>
      </c>
      <c r="I42">
        <f t="shared" ca="1" si="1"/>
        <v>7.3170731707317067</v>
      </c>
      <c r="J42">
        <f t="shared" ca="1" si="2"/>
        <v>24.390243902439025</v>
      </c>
      <c r="K42">
        <f t="shared" ca="1" si="3"/>
        <v>14.634146341463413</v>
      </c>
      <c r="L42">
        <f t="shared" ca="1" si="4"/>
        <v>17.073170731707318</v>
      </c>
      <c r="M42">
        <f t="shared" ca="1" si="5"/>
        <v>19.512195121951219</v>
      </c>
      <c r="N42">
        <f t="shared" ca="1" si="6"/>
        <v>17.073170731707318</v>
      </c>
    </row>
    <row r="43" spans="1:14" x14ac:dyDescent="0.3">
      <c r="A43">
        <f t="shared" ca="1" si="7"/>
        <v>5</v>
      </c>
      <c r="C43">
        <f ca="1">COUNTIF(A$2:A43,1)</f>
        <v>3</v>
      </c>
      <c r="D43">
        <f ca="1">COUNTIF($A$2:$A43,2)</f>
        <v>10</v>
      </c>
      <c r="E43">
        <f ca="1">COUNTIF($A$2:$A43,3)</f>
        <v>6</v>
      </c>
      <c r="F43">
        <f ca="1">COUNTIF($A$2:$A43,4)</f>
        <v>7</v>
      </c>
      <c r="G43">
        <f ca="1">COUNTIF($A$2:$A43,5)</f>
        <v>9</v>
      </c>
      <c r="H43">
        <f ca="1">COUNTIF($A$2:$A43,6)</f>
        <v>7</v>
      </c>
      <c r="I43">
        <f t="shared" ca="1" si="1"/>
        <v>7.1428571428571423</v>
      </c>
      <c r="J43">
        <f t="shared" ca="1" si="2"/>
        <v>23.809523809523807</v>
      </c>
      <c r="K43">
        <f t="shared" ca="1" si="3"/>
        <v>14.285714285714285</v>
      </c>
      <c r="L43">
        <f t="shared" ca="1" si="4"/>
        <v>16.666666666666664</v>
      </c>
      <c r="M43">
        <f t="shared" ca="1" si="5"/>
        <v>21.428571428571427</v>
      </c>
      <c r="N43">
        <f t="shared" ca="1" si="6"/>
        <v>16.666666666666664</v>
      </c>
    </row>
    <row r="44" spans="1:14" x14ac:dyDescent="0.3">
      <c r="A44">
        <f t="shared" ca="1" si="7"/>
        <v>4</v>
      </c>
      <c r="C44">
        <f ca="1">COUNTIF(A$2:A44,1)</f>
        <v>3</v>
      </c>
      <c r="D44">
        <f ca="1">COUNTIF($A$2:$A44,2)</f>
        <v>10</v>
      </c>
      <c r="E44">
        <f ca="1">COUNTIF($A$2:$A44,3)</f>
        <v>6</v>
      </c>
      <c r="F44">
        <f ca="1">COUNTIF($A$2:$A44,4)</f>
        <v>8</v>
      </c>
      <c r="G44">
        <f ca="1">COUNTIF($A$2:$A44,5)</f>
        <v>9</v>
      </c>
      <c r="H44">
        <f ca="1">COUNTIF($A$2:$A44,6)</f>
        <v>7</v>
      </c>
      <c r="I44">
        <f t="shared" ca="1" si="1"/>
        <v>6.9767441860465116</v>
      </c>
      <c r="J44">
        <f t="shared" ca="1" si="2"/>
        <v>23.255813953488371</v>
      </c>
      <c r="K44">
        <f t="shared" ca="1" si="3"/>
        <v>13.953488372093023</v>
      </c>
      <c r="L44">
        <f t="shared" ca="1" si="4"/>
        <v>18.604651162790699</v>
      </c>
      <c r="M44">
        <f t="shared" ca="1" si="5"/>
        <v>20.930232558139537</v>
      </c>
      <c r="N44">
        <f t="shared" ca="1" si="6"/>
        <v>16.279069767441861</v>
      </c>
    </row>
    <row r="45" spans="1:14" x14ac:dyDescent="0.3">
      <c r="A45">
        <f t="shared" ca="1" si="7"/>
        <v>4</v>
      </c>
      <c r="C45">
        <f ca="1">COUNTIF(A$2:A45,1)</f>
        <v>3</v>
      </c>
      <c r="D45">
        <f ca="1">COUNTIF($A$2:$A45,2)</f>
        <v>10</v>
      </c>
      <c r="E45">
        <f ca="1">COUNTIF($A$2:$A45,3)</f>
        <v>6</v>
      </c>
      <c r="F45">
        <f ca="1">COUNTIF($A$2:$A45,4)</f>
        <v>9</v>
      </c>
      <c r="G45">
        <f ca="1">COUNTIF($A$2:$A45,5)</f>
        <v>9</v>
      </c>
      <c r="H45">
        <f ca="1">COUNTIF($A$2:$A45,6)</f>
        <v>7</v>
      </c>
      <c r="I45">
        <f t="shared" ca="1" si="1"/>
        <v>6.8181818181818175</v>
      </c>
      <c r="J45">
        <f t="shared" ca="1" si="2"/>
        <v>22.727272727272727</v>
      </c>
      <c r="K45">
        <f t="shared" ca="1" si="3"/>
        <v>13.636363636363635</v>
      </c>
      <c r="L45">
        <f t="shared" ca="1" si="4"/>
        <v>20.454545454545457</v>
      </c>
      <c r="M45">
        <f t="shared" ca="1" si="5"/>
        <v>20.454545454545457</v>
      </c>
      <c r="N45">
        <f t="shared" ca="1" si="6"/>
        <v>15.909090909090908</v>
      </c>
    </row>
    <row r="46" spans="1:14" x14ac:dyDescent="0.3">
      <c r="A46">
        <f t="shared" ca="1" si="7"/>
        <v>1</v>
      </c>
      <c r="C46">
        <f ca="1">COUNTIF(A$2:A46,1)</f>
        <v>4</v>
      </c>
      <c r="D46">
        <f ca="1">COUNTIF($A$2:$A46,2)</f>
        <v>10</v>
      </c>
      <c r="E46">
        <f ca="1">COUNTIF($A$2:$A46,3)</f>
        <v>6</v>
      </c>
      <c r="F46">
        <f ca="1">COUNTIF($A$2:$A46,4)</f>
        <v>9</v>
      </c>
      <c r="G46">
        <f ca="1">COUNTIF($A$2:$A46,5)</f>
        <v>9</v>
      </c>
      <c r="H46">
        <f ca="1">COUNTIF($A$2:$A46,6)</f>
        <v>7</v>
      </c>
      <c r="I46">
        <f t="shared" ca="1" si="1"/>
        <v>8.8888888888888893</v>
      </c>
      <c r="J46">
        <f t="shared" ca="1" si="2"/>
        <v>22.222222222222221</v>
      </c>
      <c r="K46">
        <f t="shared" ca="1" si="3"/>
        <v>13.333333333333334</v>
      </c>
      <c r="L46">
        <f t="shared" ca="1" si="4"/>
        <v>20</v>
      </c>
      <c r="M46">
        <f t="shared" ca="1" si="5"/>
        <v>20</v>
      </c>
      <c r="N46">
        <f t="shared" ca="1" si="6"/>
        <v>15.555555555555555</v>
      </c>
    </row>
    <row r="47" spans="1:14" x14ac:dyDescent="0.3">
      <c r="A47">
        <f t="shared" ca="1" si="7"/>
        <v>1</v>
      </c>
      <c r="C47">
        <f ca="1">COUNTIF(A$2:A47,1)</f>
        <v>5</v>
      </c>
      <c r="D47">
        <f ca="1">COUNTIF($A$2:$A47,2)</f>
        <v>10</v>
      </c>
      <c r="E47">
        <f ca="1">COUNTIF($A$2:$A47,3)</f>
        <v>6</v>
      </c>
      <c r="F47">
        <f ca="1">COUNTIF($A$2:$A47,4)</f>
        <v>9</v>
      </c>
      <c r="G47">
        <f ca="1">COUNTIF($A$2:$A47,5)</f>
        <v>9</v>
      </c>
      <c r="H47">
        <f ca="1">COUNTIF($A$2:$A47,6)</f>
        <v>7</v>
      </c>
      <c r="I47">
        <f t="shared" ca="1" si="1"/>
        <v>10.869565217391305</v>
      </c>
      <c r="J47">
        <f t="shared" ca="1" si="2"/>
        <v>21.739130434782609</v>
      </c>
      <c r="K47">
        <f t="shared" ca="1" si="3"/>
        <v>13.043478260869565</v>
      </c>
      <c r="L47">
        <f t="shared" ca="1" si="4"/>
        <v>19.565217391304348</v>
      </c>
      <c r="M47">
        <f t="shared" ca="1" si="5"/>
        <v>19.565217391304348</v>
      </c>
      <c r="N47">
        <f t="shared" ca="1" si="6"/>
        <v>15.217391304347828</v>
      </c>
    </row>
    <row r="48" spans="1:14" x14ac:dyDescent="0.3">
      <c r="A48">
        <f t="shared" ca="1" si="7"/>
        <v>5</v>
      </c>
      <c r="C48">
        <f ca="1">COUNTIF(A$2:A48,1)</f>
        <v>5</v>
      </c>
      <c r="D48">
        <f ca="1">COUNTIF($A$2:$A48,2)</f>
        <v>10</v>
      </c>
      <c r="E48">
        <f ca="1">COUNTIF($A$2:$A48,3)</f>
        <v>6</v>
      </c>
      <c r="F48">
        <f ca="1">COUNTIF($A$2:$A48,4)</f>
        <v>9</v>
      </c>
      <c r="G48">
        <f ca="1">COUNTIF($A$2:$A48,5)</f>
        <v>10</v>
      </c>
      <c r="H48">
        <f ca="1">COUNTIF($A$2:$A48,6)</f>
        <v>7</v>
      </c>
      <c r="I48">
        <f t="shared" ca="1" si="1"/>
        <v>10.638297872340425</v>
      </c>
      <c r="J48">
        <f t="shared" ca="1" si="2"/>
        <v>21.276595744680851</v>
      </c>
      <c r="K48">
        <f t="shared" ca="1" si="3"/>
        <v>12.76595744680851</v>
      </c>
      <c r="L48">
        <f t="shared" ca="1" si="4"/>
        <v>19.148936170212767</v>
      </c>
      <c r="M48">
        <f t="shared" ca="1" si="5"/>
        <v>21.276595744680851</v>
      </c>
      <c r="N48">
        <f t="shared" ca="1" si="6"/>
        <v>14.893617021276595</v>
      </c>
    </row>
    <row r="49" spans="1:14" x14ac:dyDescent="0.3">
      <c r="A49">
        <f t="shared" ca="1" si="7"/>
        <v>2</v>
      </c>
      <c r="C49">
        <f ca="1">COUNTIF(A$2:A49,1)</f>
        <v>5</v>
      </c>
      <c r="D49">
        <f ca="1">COUNTIF($A$2:$A49,2)</f>
        <v>11</v>
      </c>
      <c r="E49">
        <f ca="1">COUNTIF($A$2:$A49,3)</f>
        <v>6</v>
      </c>
      <c r="F49">
        <f ca="1">COUNTIF($A$2:$A49,4)</f>
        <v>9</v>
      </c>
      <c r="G49">
        <f ca="1">COUNTIF($A$2:$A49,5)</f>
        <v>10</v>
      </c>
      <c r="H49">
        <f ca="1">COUNTIF($A$2:$A49,6)</f>
        <v>7</v>
      </c>
      <c r="I49">
        <f t="shared" ca="1" si="1"/>
        <v>10.416666666666668</v>
      </c>
      <c r="J49">
        <f t="shared" ca="1" si="2"/>
        <v>22.916666666666664</v>
      </c>
      <c r="K49">
        <f t="shared" ca="1" si="3"/>
        <v>12.5</v>
      </c>
      <c r="L49">
        <f t="shared" ca="1" si="4"/>
        <v>18.75</v>
      </c>
      <c r="M49">
        <f t="shared" ca="1" si="5"/>
        <v>20.833333333333336</v>
      </c>
      <c r="N49">
        <f t="shared" ca="1" si="6"/>
        <v>14.583333333333334</v>
      </c>
    </row>
    <row r="50" spans="1:14" x14ac:dyDescent="0.3">
      <c r="A50">
        <f t="shared" ca="1" si="7"/>
        <v>4</v>
      </c>
      <c r="C50">
        <f ca="1">COUNTIF(A$2:A50,1)</f>
        <v>5</v>
      </c>
      <c r="D50">
        <f ca="1">COUNTIF($A$2:$A50,2)</f>
        <v>11</v>
      </c>
      <c r="E50">
        <f ca="1">COUNTIF($A$2:$A50,3)</f>
        <v>6</v>
      </c>
      <c r="F50">
        <f ca="1">COUNTIF($A$2:$A50,4)</f>
        <v>10</v>
      </c>
      <c r="G50">
        <f ca="1">COUNTIF($A$2:$A50,5)</f>
        <v>10</v>
      </c>
      <c r="H50">
        <f ca="1">COUNTIF($A$2:$A50,6)</f>
        <v>7</v>
      </c>
      <c r="I50">
        <f t="shared" ca="1" si="1"/>
        <v>10.204081632653061</v>
      </c>
      <c r="J50">
        <f t="shared" ca="1" si="2"/>
        <v>22.448979591836736</v>
      </c>
      <c r="K50">
        <f t="shared" ca="1" si="3"/>
        <v>12.244897959183673</v>
      </c>
      <c r="L50">
        <f t="shared" ca="1" si="4"/>
        <v>20.408163265306122</v>
      </c>
      <c r="M50">
        <f t="shared" ca="1" si="5"/>
        <v>20.408163265306122</v>
      </c>
      <c r="N50">
        <f t="shared" ca="1" si="6"/>
        <v>14.285714285714285</v>
      </c>
    </row>
    <row r="51" spans="1:14" x14ac:dyDescent="0.3">
      <c r="A51">
        <f t="shared" ca="1" si="7"/>
        <v>2</v>
      </c>
      <c r="C51">
        <f ca="1">COUNTIF(A$2:A51,1)</f>
        <v>5</v>
      </c>
      <c r="D51">
        <f ca="1">COUNTIF($A$2:$A51,2)</f>
        <v>12</v>
      </c>
      <c r="E51">
        <f ca="1">COUNTIF($A$2:$A51,3)</f>
        <v>6</v>
      </c>
      <c r="F51">
        <f ca="1">COUNTIF($A$2:$A51,4)</f>
        <v>10</v>
      </c>
      <c r="G51">
        <f ca="1">COUNTIF($A$2:$A51,5)</f>
        <v>10</v>
      </c>
      <c r="H51">
        <f ca="1">COUNTIF($A$2:$A51,6)</f>
        <v>7</v>
      </c>
      <c r="I51">
        <f t="shared" ca="1" si="1"/>
        <v>10</v>
      </c>
      <c r="J51">
        <f t="shared" ca="1" si="2"/>
        <v>24</v>
      </c>
      <c r="K51">
        <f t="shared" ca="1" si="3"/>
        <v>12</v>
      </c>
      <c r="L51">
        <f t="shared" ca="1" si="4"/>
        <v>20</v>
      </c>
      <c r="M51">
        <f t="shared" ca="1" si="5"/>
        <v>20</v>
      </c>
      <c r="N51">
        <f t="shared" ca="1" si="6"/>
        <v>14.000000000000002</v>
      </c>
    </row>
    <row r="52" spans="1:14" x14ac:dyDescent="0.3">
      <c r="A52">
        <f t="shared" ca="1" si="7"/>
        <v>5</v>
      </c>
      <c r="C52">
        <f ca="1">COUNTIF(A$2:A52,1)</f>
        <v>5</v>
      </c>
      <c r="D52">
        <f ca="1">COUNTIF($A$2:$A52,2)</f>
        <v>12</v>
      </c>
      <c r="E52">
        <f ca="1">COUNTIF($A$2:$A52,3)</f>
        <v>6</v>
      </c>
      <c r="F52">
        <f ca="1">COUNTIF($A$2:$A52,4)</f>
        <v>10</v>
      </c>
      <c r="G52">
        <f ca="1">COUNTIF($A$2:$A52,5)</f>
        <v>11</v>
      </c>
      <c r="H52">
        <f ca="1">COUNTIF($A$2:$A52,6)</f>
        <v>7</v>
      </c>
      <c r="I52">
        <f t="shared" ca="1" si="1"/>
        <v>9.8039215686274517</v>
      </c>
      <c r="J52">
        <f t="shared" ca="1" si="2"/>
        <v>23.52941176470588</v>
      </c>
      <c r="K52">
        <f t="shared" ca="1" si="3"/>
        <v>11.76470588235294</v>
      </c>
      <c r="L52">
        <f t="shared" ca="1" si="4"/>
        <v>19.607843137254903</v>
      </c>
      <c r="M52">
        <f t="shared" ca="1" si="5"/>
        <v>21.568627450980394</v>
      </c>
      <c r="N52">
        <f t="shared" ca="1" si="6"/>
        <v>13.725490196078432</v>
      </c>
    </row>
    <row r="53" spans="1:14" x14ac:dyDescent="0.3">
      <c r="A53">
        <f t="shared" ca="1" si="7"/>
        <v>5</v>
      </c>
      <c r="C53">
        <f ca="1">COUNTIF(A$2:A53,1)</f>
        <v>5</v>
      </c>
      <c r="D53">
        <f ca="1">COUNTIF($A$2:$A53,2)</f>
        <v>12</v>
      </c>
      <c r="E53">
        <f ca="1">COUNTIF($A$2:$A53,3)</f>
        <v>6</v>
      </c>
      <c r="F53">
        <f ca="1">COUNTIF($A$2:$A53,4)</f>
        <v>10</v>
      </c>
      <c r="G53">
        <f ca="1">COUNTIF($A$2:$A53,5)</f>
        <v>12</v>
      </c>
      <c r="H53">
        <f ca="1">COUNTIF($A$2:$A53,6)</f>
        <v>7</v>
      </c>
      <c r="I53">
        <f t="shared" ca="1" si="1"/>
        <v>9.6153846153846168</v>
      </c>
      <c r="J53">
        <f t="shared" ca="1" si="2"/>
        <v>23.076923076923077</v>
      </c>
      <c r="K53">
        <f t="shared" ca="1" si="3"/>
        <v>11.538461538461538</v>
      </c>
      <c r="L53">
        <f t="shared" ca="1" si="4"/>
        <v>19.230769230769234</v>
      </c>
      <c r="M53">
        <f t="shared" ca="1" si="5"/>
        <v>23.076923076923077</v>
      </c>
      <c r="N53">
        <f t="shared" ca="1" si="6"/>
        <v>13.461538461538462</v>
      </c>
    </row>
    <row r="54" spans="1:14" x14ac:dyDescent="0.3">
      <c r="A54">
        <f t="shared" ca="1" si="7"/>
        <v>4</v>
      </c>
      <c r="C54">
        <f ca="1">COUNTIF(A$2:A54,1)</f>
        <v>5</v>
      </c>
      <c r="D54">
        <f ca="1">COUNTIF($A$2:$A54,2)</f>
        <v>12</v>
      </c>
      <c r="E54">
        <f ca="1">COUNTIF($A$2:$A54,3)</f>
        <v>6</v>
      </c>
      <c r="F54">
        <f ca="1">COUNTIF($A$2:$A54,4)</f>
        <v>11</v>
      </c>
      <c r="G54">
        <f ca="1">COUNTIF($A$2:$A54,5)</f>
        <v>12</v>
      </c>
      <c r="H54">
        <f ca="1">COUNTIF($A$2:$A54,6)</f>
        <v>7</v>
      </c>
      <c r="I54">
        <f t="shared" ca="1" si="1"/>
        <v>9.433962264150944</v>
      </c>
      <c r="J54">
        <f t="shared" ca="1" si="2"/>
        <v>22.641509433962266</v>
      </c>
      <c r="K54">
        <f t="shared" ca="1" si="3"/>
        <v>11.320754716981133</v>
      </c>
      <c r="L54">
        <f t="shared" ca="1" si="4"/>
        <v>20.754716981132077</v>
      </c>
      <c r="M54">
        <f t="shared" ca="1" si="5"/>
        <v>22.641509433962266</v>
      </c>
      <c r="N54">
        <f t="shared" ca="1" si="6"/>
        <v>13.20754716981132</v>
      </c>
    </row>
    <row r="55" spans="1:14" x14ac:dyDescent="0.3">
      <c r="A55">
        <f t="shared" ca="1" si="7"/>
        <v>5</v>
      </c>
      <c r="C55">
        <f ca="1">COUNTIF(A$2:A55,1)</f>
        <v>5</v>
      </c>
      <c r="D55">
        <f ca="1">COUNTIF($A$2:$A55,2)</f>
        <v>12</v>
      </c>
      <c r="E55">
        <f ca="1">COUNTIF($A$2:$A55,3)</f>
        <v>6</v>
      </c>
      <c r="F55">
        <f ca="1">COUNTIF($A$2:$A55,4)</f>
        <v>11</v>
      </c>
      <c r="G55">
        <f ca="1">COUNTIF($A$2:$A55,5)</f>
        <v>13</v>
      </c>
      <c r="H55">
        <f ca="1">COUNTIF($A$2:$A55,6)</f>
        <v>7</v>
      </c>
      <c r="I55">
        <f t="shared" ca="1" si="1"/>
        <v>9.2592592592592595</v>
      </c>
      <c r="J55">
        <f t="shared" ca="1" si="2"/>
        <v>22.222222222222221</v>
      </c>
      <c r="K55">
        <f t="shared" ca="1" si="3"/>
        <v>11.111111111111111</v>
      </c>
      <c r="L55">
        <f t="shared" ca="1" si="4"/>
        <v>20.37037037037037</v>
      </c>
      <c r="M55">
        <f t="shared" ca="1" si="5"/>
        <v>24.074074074074073</v>
      </c>
      <c r="N55">
        <f t="shared" ca="1" si="6"/>
        <v>12.962962962962962</v>
      </c>
    </row>
    <row r="56" spans="1:14" x14ac:dyDescent="0.3">
      <c r="A56">
        <f t="shared" ca="1" si="7"/>
        <v>6</v>
      </c>
      <c r="C56">
        <f ca="1">COUNTIF(A$2:A56,1)</f>
        <v>5</v>
      </c>
      <c r="D56">
        <f ca="1">COUNTIF($A$2:$A56,2)</f>
        <v>12</v>
      </c>
      <c r="E56">
        <f ca="1">COUNTIF($A$2:$A56,3)</f>
        <v>6</v>
      </c>
      <c r="F56">
        <f ca="1">COUNTIF($A$2:$A56,4)</f>
        <v>11</v>
      </c>
      <c r="G56">
        <f ca="1">COUNTIF($A$2:$A56,5)</f>
        <v>13</v>
      </c>
      <c r="H56">
        <f ca="1">COUNTIF($A$2:$A56,6)</f>
        <v>8</v>
      </c>
      <c r="I56">
        <f t="shared" ca="1" si="1"/>
        <v>9.0909090909090917</v>
      </c>
      <c r="J56">
        <f t="shared" ca="1" si="2"/>
        <v>21.818181818181817</v>
      </c>
      <c r="K56">
        <f t="shared" ca="1" si="3"/>
        <v>10.909090909090908</v>
      </c>
      <c r="L56">
        <f t="shared" ca="1" si="4"/>
        <v>20</v>
      </c>
      <c r="M56">
        <f t="shared" ca="1" si="5"/>
        <v>23.636363636363637</v>
      </c>
      <c r="N56">
        <f t="shared" ca="1" si="6"/>
        <v>14.545454545454545</v>
      </c>
    </row>
    <row r="57" spans="1:14" x14ac:dyDescent="0.3">
      <c r="A57">
        <f t="shared" ca="1" si="7"/>
        <v>1</v>
      </c>
      <c r="C57">
        <f ca="1">COUNTIF(A$2:A57,1)</f>
        <v>6</v>
      </c>
      <c r="D57">
        <f ca="1">COUNTIF($A$2:$A57,2)</f>
        <v>12</v>
      </c>
      <c r="E57">
        <f ca="1">COUNTIF($A$2:$A57,3)</f>
        <v>6</v>
      </c>
      <c r="F57">
        <f ca="1">COUNTIF($A$2:$A57,4)</f>
        <v>11</v>
      </c>
      <c r="G57">
        <f ca="1">COUNTIF($A$2:$A57,5)</f>
        <v>13</v>
      </c>
      <c r="H57">
        <f ca="1">COUNTIF($A$2:$A57,6)</f>
        <v>8</v>
      </c>
      <c r="I57">
        <f t="shared" ca="1" si="1"/>
        <v>10.714285714285714</v>
      </c>
      <c r="J57">
        <f t="shared" ca="1" si="2"/>
        <v>21.428571428571427</v>
      </c>
      <c r="K57">
        <f t="shared" ca="1" si="3"/>
        <v>10.714285714285714</v>
      </c>
      <c r="L57">
        <f t="shared" ca="1" si="4"/>
        <v>19.642857142857142</v>
      </c>
      <c r="M57">
        <f t="shared" ca="1" si="5"/>
        <v>23.214285714285715</v>
      </c>
      <c r="N57">
        <f t="shared" ca="1" si="6"/>
        <v>14.285714285714285</v>
      </c>
    </row>
    <row r="58" spans="1:14" x14ac:dyDescent="0.3">
      <c r="A58">
        <f t="shared" ca="1" si="7"/>
        <v>5</v>
      </c>
      <c r="C58">
        <f ca="1">COUNTIF(A$2:A58,1)</f>
        <v>6</v>
      </c>
      <c r="D58">
        <f ca="1">COUNTIF($A$2:$A58,2)</f>
        <v>12</v>
      </c>
      <c r="E58">
        <f ca="1">COUNTIF($A$2:$A58,3)</f>
        <v>6</v>
      </c>
      <c r="F58">
        <f ca="1">COUNTIF($A$2:$A58,4)</f>
        <v>11</v>
      </c>
      <c r="G58">
        <f ca="1">COUNTIF($A$2:$A58,5)</f>
        <v>14</v>
      </c>
      <c r="H58">
        <f ca="1">COUNTIF($A$2:$A58,6)</f>
        <v>8</v>
      </c>
      <c r="I58">
        <f t="shared" ca="1" si="1"/>
        <v>10.526315789473683</v>
      </c>
      <c r="J58">
        <f t="shared" ca="1" si="2"/>
        <v>21.052631578947366</v>
      </c>
      <c r="K58">
        <f t="shared" ca="1" si="3"/>
        <v>10.526315789473683</v>
      </c>
      <c r="L58">
        <f t="shared" ca="1" si="4"/>
        <v>19.298245614035086</v>
      </c>
      <c r="M58">
        <f t="shared" ca="1" si="5"/>
        <v>24.561403508771928</v>
      </c>
      <c r="N58">
        <f t="shared" ca="1" si="6"/>
        <v>14.035087719298245</v>
      </c>
    </row>
    <row r="59" spans="1:14" x14ac:dyDescent="0.3">
      <c r="A59">
        <f t="shared" ca="1" si="7"/>
        <v>3</v>
      </c>
      <c r="C59">
        <f ca="1">COUNTIF(A$2:A59,1)</f>
        <v>6</v>
      </c>
      <c r="D59">
        <f ca="1">COUNTIF($A$2:$A59,2)</f>
        <v>12</v>
      </c>
      <c r="E59">
        <f ca="1">COUNTIF($A$2:$A59,3)</f>
        <v>7</v>
      </c>
      <c r="F59">
        <f ca="1">COUNTIF($A$2:$A59,4)</f>
        <v>11</v>
      </c>
      <c r="G59">
        <f ca="1">COUNTIF($A$2:$A59,5)</f>
        <v>14</v>
      </c>
      <c r="H59">
        <f ca="1">COUNTIF($A$2:$A59,6)</f>
        <v>8</v>
      </c>
      <c r="I59">
        <f t="shared" ca="1" si="1"/>
        <v>10.344827586206897</v>
      </c>
      <c r="J59">
        <f t="shared" ca="1" si="2"/>
        <v>20.689655172413794</v>
      </c>
      <c r="K59">
        <f t="shared" ca="1" si="3"/>
        <v>12.068965517241379</v>
      </c>
      <c r="L59">
        <f t="shared" ca="1" si="4"/>
        <v>18.96551724137931</v>
      </c>
      <c r="M59">
        <f t="shared" ca="1" si="5"/>
        <v>24.137931034482758</v>
      </c>
      <c r="N59">
        <f t="shared" ca="1" si="6"/>
        <v>13.793103448275861</v>
      </c>
    </row>
    <row r="60" spans="1:14" x14ac:dyDescent="0.3">
      <c r="A60">
        <f t="shared" ca="1" si="7"/>
        <v>5</v>
      </c>
      <c r="C60">
        <f ca="1">COUNTIF(A$2:A60,1)</f>
        <v>6</v>
      </c>
      <c r="D60">
        <f ca="1">COUNTIF($A$2:$A60,2)</f>
        <v>12</v>
      </c>
      <c r="E60">
        <f ca="1">COUNTIF($A$2:$A60,3)</f>
        <v>7</v>
      </c>
      <c r="F60">
        <f ca="1">COUNTIF($A$2:$A60,4)</f>
        <v>11</v>
      </c>
      <c r="G60">
        <f ca="1">COUNTIF($A$2:$A60,5)</f>
        <v>15</v>
      </c>
      <c r="H60">
        <f ca="1">COUNTIF($A$2:$A60,6)</f>
        <v>8</v>
      </c>
      <c r="I60">
        <f t="shared" ca="1" si="1"/>
        <v>10.16949152542373</v>
      </c>
      <c r="J60">
        <f t="shared" ca="1" si="2"/>
        <v>20.33898305084746</v>
      </c>
      <c r="K60">
        <f t="shared" ca="1" si="3"/>
        <v>11.864406779661017</v>
      </c>
      <c r="L60">
        <f t="shared" ca="1" si="4"/>
        <v>18.64406779661017</v>
      </c>
      <c r="M60">
        <f t="shared" ca="1" si="5"/>
        <v>25.423728813559322</v>
      </c>
      <c r="N60">
        <f t="shared" ca="1" si="6"/>
        <v>13.559322033898304</v>
      </c>
    </row>
    <row r="61" spans="1:14" x14ac:dyDescent="0.3">
      <c r="A61">
        <f t="shared" ca="1" si="7"/>
        <v>2</v>
      </c>
      <c r="C61">
        <f ca="1">COUNTIF(A$2:A61,1)</f>
        <v>6</v>
      </c>
      <c r="D61">
        <f ca="1">COUNTIF($A$2:$A61,2)</f>
        <v>13</v>
      </c>
      <c r="E61">
        <f ca="1">COUNTIF($A$2:$A61,3)</f>
        <v>7</v>
      </c>
      <c r="F61">
        <f ca="1">COUNTIF($A$2:$A61,4)</f>
        <v>11</v>
      </c>
      <c r="G61">
        <f ca="1">COUNTIF($A$2:$A61,5)</f>
        <v>15</v>
      </c>
      <c r="H61">
        <f ca="1">COUNTIF($A$2:$A61,6)</f>
        <v>8</v>
      </c>
      <c r="I61">
        <f t="shared" ca="1" si="1"/>
        <v>10</v>
      </c>
      <c r="J61">
        <f t="shared" ca="1" si="2"/>
        <v>21.666666666666668</v>
      </c>
      <c r="K61">
        <f t="shared" ca="1" si="3"/>
        <v>11.666666666666666</v>
      </c>
      <c r="L61">
        <f t="shared" ca="1" si="4"/>
        <v>18.333333333333332</v>
      </c>
      <c r="M61">
        <f t="shared" ca="1" si="5"/>
        <v>25</v>
      </c>
      <c r="N61">
        <f t="shared" ca="1" si="6"/>
        <v>13.333333333333334</v>
      </c>
    </row>
    <row r="62" spans="1:14" x14ac:dyDescent="0.3">
      <c r="A62">
        <f t="shared" ca="1" si="7"/>
        <v>3</v>
      </c>
      <c r="C62">
        <f ca="1">COUNTIF(A$2:A62,1)</f>
        <v>6</v>
      </c>
      <c r="D62">
        <f ca="1">COUNTIF($A$2:$A62,2)</f>
        <v>13</v>
      </c>
      <c r="E62">
        <f ca="1">COUNTIF($A$2:$A62,3)</f>
        <v>8</v>
      </c>
      <c r="F62">
        <f ca="1">COUNTIF($A$2:$A62,4)</f>
        <v>11</v>
      </c>
      <c r="G62">
        <f ca="1">COUNTIF($A$2:$A62,5)</f>
        <v>15</v>
      </c>
      <c r="H62">
        <f ca="1">COUNTIF($A$2:$A62,6)</f>
        <v>8</v>
      </c>
      <c r="I62">
        <f t="shared" ca="1" si="1"/>
        <v>9.8360655737704921</v>
      </c>
      <c r="J62">
        <f t="shared" ca="1" si="2"/>
        <v>21.311475409836063</v>
      </c>
      <c r="K62">
        <f t="shared" ca="1" si="3"/>
        <v>13.114754098360656</v>
      </c>
      <c r="L62">
        <f t="shared" ca="1" si="4"/>
        <v>18.032786885245901</v>
      </c>
      <c r="M62">
        <f t="shared" ca="1" si="5"/>
        <v>24.590163934426229</v>
      </c>
      <c r="N62">
        <f t="shared" ca="1" si="6"/>
        <v>13.114754098360656</v>
      </c>
    </row>
    <row r="63" spans="1:14" x14ac:dyDescent="0.3">
      <c r="A63">
        <f t="shared" ca="1" si="7"/>
        <v>2</v>
      </c>
      <c r="C63">
        <f ca="1">COUNTIF(A$2:A63,1)</f>
        <v>6</v>
      </c>
      <c r="D63">
        <f ca="1">COUNTIF($A$2:$A63,2)</f>
        <v>14</v>
      </c>
      <c r="E63">
        <f ca="1">COUNTIF($A$2:$A63,3)</f>
        <v>8</v>
      </c>
      <c r="F63">
        <f ca="1">COUNTIF($A$2:$A63,4)</f>
        <v>11</v>
      </c>
      <c r="G63">
        <f ca="1">COUNTIF($A$2:$A63,5)</f>
        <v>15</v>
      </c>
      <c r="H63">
        <f ca="1">COUNTIF($A$2:$A63,6)</f>
        <v>8</v>
      </c>
      <c r="I63">
        <f t="shared" ca="1" si="1"/>
        <v>9.67741935483871</v>
      </c>
      <c r="J63">
        <f t="shared" ca="1" si="2"/>
        <v>22.58064516129032</v>
      </c>
      <c r="K63">
        <f t="shared" ca="1" si="3"/>
        <v>12.903225806451612</v>
      </c>
      <c r="L63">
        <f t="shared" ca="1" si="4"/>
        <v>17.741935483870968</v>
      </c>
      <c r="M63">
        <f t="shared" ca="1" si="5"/>
        <v>24.193548387096776</v>
      </c>
      <c r="N63">
        <f t="shared" ca="1" si="6"/>
        <v>12.903225806451612</v>
      </c>
    </row>
    <row r="64" spans="1:14" x14ac:dyDescent="0.3">
      <c r="A64">
        <f t="shared" ca="1" si="7"/>
        <v>5</v>
      </c>
      <c r="C64">
        <f ca="1">COUNTIF(A$2:A64,1)</f>
        <v>6</v>
      </c>
      <c r="D64">
        <f ca="1">COUNTIF($A$2:$A64,2)</f>
        <v>14</v>
      </c>
      <c r="E64">
        <f ca="1">COUNTIF($A$2:$A64,3)</f>
        <v>8</v>
      </c>
      <c r="F64">
        <f ca="1">COUNTIF($A$2:$A64,4)</f>
        <v>11</v>
      </c>
      <c r="G64">
        <f ca="1">COUNTIF($A$2:$A64,5)</f>
        <v>16</v>
      </c>
      <c r="H64">
        <f ca="1">COUNTIF($A$2:$A64,6)</f>
        <v>8</v>
      </c>
      <c r="I64">
        <f t="shared" ca="1" si="1"/>
        <v>9.5238095238095237</v>
      </c>
      <c r="J64">
        <f t="shared" ca="1" si="2"/>
        <v>22.222222222222221</v>
      </c>
      <c r="K64">
        <f t="shared" ca="1" si="3"/>
        <v>12.698412698412698</v>
      </c>
      <c r="L64">
        <f t="shared" ca="1" si="4"/>
        <v>17.460317460317459</v>
      </c>
      <c r="M64">
        <f t="shared" ca="1" si="5"/>
        <v>25.396825396825395</v>
      </c>
      <c r="N64">
        <f t="shared" ca="1" si="6"/>
        <v>12.698412698412698</v>
      </c>
    </row>
    <row r="65" spans="1:14" x14ac:dyDescent="0.3">
      <c r="A65">
        <f t="shared" ca="1" si="7"/>
        <v>3</v>
      </c>
      <c r="C65">
        <f ca="1">COUNTIF(A$2:A65,1)</f>
        <v>6</v>
      </c>
      <c r="D65">
        <f ca="1">COUNTIF($A$2:$A65,2)</f>
        <v>14</v>
      </c>
      <c r="E65">
        <f ca="1">COUNTIF($A$2:$A65,3)</f>
        <v>9</v>
      </c>
      <c r="F65">
        <f ca="1">COUNTIF($A$2:$A65,4)</f>
        <v>11</v>
      </c>
      <c r="G65">
        <f ca="1">COUNTIF($A$2:$A65,5)</f>
        <v>16</v>
      </c>
      <c r="H65">
        <f ca="1">COUNTIF($A$2:$A65,6)</f>
        <v>8</v>
      </c>
      <c r="I65">
        <f t="shared" ca="1" si="1"/>
        <v>9.375</v>
      </c>
      <c r="J65">
        <f t="shared" ca="1" si="2"/>
        <v>21.875</v>
      </c>
      <c r="K65">
        <f t="shared" ca="1" si="3"/>
        <v>14.0625</v>
      </c>
      <c r="L65">
        <f t="shared" ca="1" si="4"/>
        <v>17.1875</v>
      </c>
      <c r="M65">
        <f t="shared" ca="1" si="5"/>
        <v>25</v>
      </c>
      <c r="N65">
        <f t="shared" ca="1" si="6"/>
        <v>12.5</v>
      </c>
    </row>
    <row r="66" spans="1:14" x14ac:dyDescent="0.3">
      <c r="A66">
        <f t="shared" ca="1" si="7"/>
        <v>4</v>
      </c>
      <c r="C66">
        <f ca="1">COUNTIF(A$2:A66,1)</f>
        <v>6</v>
      </c>
      <c r="D66">
        <f ca="1">COUNTIF($A$2:$A66,2)</f>
        <v>14</v>
      </c>
      <c r="E66">
        <f ca="1">COUNTIF($A$2:$A66,3)</f>
        <v>9</v>
      </c>
      <c r="F66">
        <f ca="1">COUNTIF($A$2:$A66,4)</f>
        <v>12</v>
      </c>
      <c r="G66">
        <f ca="1">COUNTIF($A$2:$A66,5)</f>
        <v>16</v>
      </c>
      <c r="H66">
        <f ca="1">COUNTIF($A$2:$A66,6)</f>
        <v>8</v>
      </c>
      <c r="I66">
        <f t="shared" ca="1" si="1"/>
        <v>9.2307692307692317</v>
      </c>
      <c r="J66">
        <f t="shared" ca="1" si="2"/>
        <v>21.53846153846154</v>
      </c>
      <c r="K66">
        <f t="shared" ca="1" si="3"/>
        <v>13.846153846153847</v>
      </c>
      <c r="L66">
        <f t="shared" ca="1" si="4"/>
        <v>18.461538461538463</v>
      </c>
      <c r="M66">
        <f t="shared" ca="1" si="5"/>
        <v>24.615384615384617</v>
      </c>
      <c r="N66">
        <f t="shared" ca="1" si="6"/>
        <v>12.307692307692308</v>
      </c>
    </row>
    <row r="67" spans="1:14" x14ac:dyDescent="0.3">
      <c r="A67">
        <f t="shared" ref="A67:A130" ca="1" si="8">ROUNDDOWN(RAND()*6+1,0)</f>
        <v>6</v>
      </c>
      <c r="C67">
        <f ca="1">COUNTIF(A$2:A67,1)</f>
        <v>6</v>
      </c>
      <c r="D67">
        <f ca="1">COUNTIF($A$2:$A67,2)</f>
        <v>14</v>
      </c>
      <c r="E67">
        <f ca="1">COUNTIF($A$2:$A67,3)</f>
        <v>9</v>
      </c>
      <c r="F67">
        <f ca="1">COUNTIF($A$2:$A67,4)</f>
        <v>12</v>
      </c>
      <c r="G67">
        <f ca="1">COUNTIF($A$2:$A67,5)</f>
        <v>16</v>
      </c>
      <c r="H67">
        <f ca="1">COUNTIF($A$2:$A67,6)</f>
        <v>9</v>
      </c>
      <c r="I67">
        <f t="shared" ref="I67:I130" ca="1" si="9">C67/(SUM($C67:$H67))*100</f>
        <v>9.0909090909090917</v>
      </c>
      <c r="J67">
        <f t="shared" ref="J67:J130" ca="1" si="10">D67/(SUM($C67:$H67))*100</f>
        <v>21.212121212121211</v>
      </c>
      <c r="K67">
        <f t="shared" ref="K67:K130" ca="1" si="11">E67/(SUM($C67:$H67))*100</f>
        <v>13.636363636363635</v>
      </c>
      <c r="L67">
        <f t="shared" ref="L67:L130" ca="1" si="12">F67/(SUM($C67:$H67))*100</f>
        <v>18.181818181818183</v>
      </c>
      <c r="M67">
        <f t="shared" ref="M67:M130" ca="1" si="13">G67/(SUM($C67:$H67))*100</f>
        <v>24.242424242424242</v>
      </c>
      <c r="N67">
        <f t="shared" ref="N67:N130" ca="1" si="14">H67/(SUM($C67:$H67))*100</f>
        <v>13.636363636363635</v>
      </c>
    </row>
    <row r="68" spans="1:14" x14ac:dyDescent="0.3">
      <c r="A68">
        <f t="shared" ca="1" si="8"/>
        <v>3</v>
      </c>
      <c r="C68">
        <f ca="1">COUNTIF(A$2:A68,1)</f>
        <v>6</v>
      </c>
      <c r="D68">
        <f ca="1">COUNTIF($A$2:$A68,2)</f>
        <v>14</v>
      </c>
      <c r="E68">
        <f ca="1">COUNTIF($A$2:$A68,3)</f>
        <v>10</v>
      </c>
      <c r="F68">
        <f ca="1">COUNTIF($A$2:$A68,4)</f>
        <v>12</v>
      </c>
      <c r="G68">
        <f ca="1">COUNTIF($A$2:$A68,5)</f>
        <v>16</v>
      </c>
      <c r="H68">
        <f ca="1">COUNTIF($A$2:$A68,6)</f>
        <v>9</v>
      </c>
      <c r="I68">
        <f t="shared" ca="1" si="9"/>
        <v>8.9552238805970141</v>
      </c>
      <c r="J68">
        <f t="shared" ca="1" si="10"/>
        <v>20.8955223880597</v>
      </c>
      <c r="K68">
        <f t="shared" ca="1" si="11"/>
        <v>14.925373134328357</v>
      </c>
      <c r="L68">
        <f t="shared" ca="1" si="12"/>
        <v>17.910447761194028</v>
      </c>
      <c r="M68">
        <f t="shared" ca="1" si="13"/>
        <v>23.880597014925371</v>
      </c>
      <c r="N68">
        <f t="shared" ca="1" si="14"/>
        <v>13.432835820895523</v>
      </c>
    </row>
    <row r="69" spans="1:14" x14ac:dyDescent="0.3">
      <c r="A69">
        <f t="shared" ca="1" si="8"/>
        <v>5</v>
      </c>
      <c r="C69">
        <f ca="1">COUNTIF(A$2:A69,1)</f>
        <v>6</v>
      </c>
      <c r="D69">
        <f ca="1">COUNTIF($A$2:$A69,2)</f>
        <v>14</v>
      </c>
      <c r="E69">
        <f ca="1">COUNTIF($A$2:$A69,3)</f>
        <v>10</v>
      </c>
      <c r="F69">
        <f ca="1">COUNTIF($A$2:$A69,4)</f>
        <v>12</v>
      </c>
      <c r="G69">
        <f ca="1">COUNTIF($A$2:$A69,5)</f>
        <v>17</v>
      </c>
      <c r="H69">
        <f ca="1">COUNTIF($A$2:$A69,6)</f>
        <v>9</v>
      </c>
      <c r="I69">
        <f t="shared" ca="1" si="9"/>
        <v>8.8235294117647065</v>
      </c>
      <c r="J69">
        <f t="shared" ca="1" si="10"/>
        <v>20.588235294117645</v>
      </c>
      <c r="K69">
        <f t="shared" ca="1" si="11"/>
        <v>14.705882352941178</v>
      </c>
      <c r="L69">
        <f t="shared" ca="1" si="12"/>
        <v>17.647058823529413</v>
      </c>
      <c r="M69">
        <f t="shared" ca="1" si="13"/>
        <v>25</v>
      </c>
      <c r="N69">
        <f t="shared" ca="1" si="14"/>
        <v>13.23529411764706</v>
      </c>
    </row>
    <row r="70" spans="1:14" x14ac:dyDescent="0.3">
      <c r="A70">
        <f t="shared" ca="1" si="8"/>
        <v>3</v>
      </c>
      <c r="C70">
        <f ca="1">COUNTIF(A$2:A70,1)</f>
        <v>6</v>
      </c>
      <c r="D70">
        <f ca="1">COUNTIF($A$2:$A70,2)</f>
        <v>14</v>
      </c>
      <c r="E70">
        <f ca="1">COUNTIF($A$2:$A70,3)</f>
        <v>11</v>
      </c>
      <c r="F70">
        <f ca="1">COUNTIF($A$2:$A70,4)</f>
        <v>12</v>
      </c>
      <c r="G70">
        <f ca="1">COUNTIF($A$2:$A70,5)</f>
        <v>17</v>
      </c>
      <c r="H70">
        <f ca="1">COUNTIF($A$2:$A70,6)</f>
        <v>9</v>
      </c>
      <c r="I70">
        <f t="shared" ca="1" si="9"/>
        <v>8.695652173913043</v>
      </c>
      <c r="J70">
        <f t="shared" ca="1" si="10"/>
        <v>20.289855072463769</v>
      </c>
      <c r="K70">
        <f t="shared" ca="1" si="11"/>
        <v>15.942028985507244</v>
      </c>
      <c r="L70">
        <f t="shared" ca="1" si="12"/>
        <v>17.391304347826086</v>
      </c>
      <c r="M70">
        <f t="shared" ca="1" si="13"/>
        <v>24.637681159420293</v>
      </c>
      <c r="N70">
        <f t="shared" ca="1" si="14"/>
        <v>13.043478260869565</v>
      </c>
    </row>
    <row r="71" spans="1:14" x14ac:dyDescent="0.3">
      <c r="A71">
        <f t="shared" ca="1" si="8"/>
        <v>4</v>
      </c>
      <c r="C71">
        <f ca="1">COUNTIF(A$2:A71,1)</f>
        <v>6</v>
      </c>
      <c r="D71">
        <f ca="1">COUNTIF($A$2:$A71,2)</f>
        <v>14</v>
      </c>
      <c r="E71">
        <f ca="1">COUNTIF($A$2:$A71,3)</f>
        <v>11</v>
      </c>
      <c r="F71">
        <f ca="1">COUNTIF($A$2:$A71,4)</f>
        <v>13</v>
      </c>
      <c r="G71">
        <f ca="1">COUNTIF($A$2:$A71,5)</f>
        <v>17</v>
      </c>
      <c r="H71">
        <f ca="1">COUNTIF($A$2:$A71,6)</f>
        <v>9</v>
      </c>
      <c r="I71">
        <f t="shared" ca="1" si="9"/>
        <v>8.5714285714285712</v>
      </c>
      <c r="J71">
        <f t="shared" ca="1" si="10"/>
        <v>20</v>
      </c>
      <c r="K71">
        <f t="shared" ca="1" si="11"/>
        <v>15.714285714285714</v>
      </c>
      <c r="L71">
        <f t="shared" ca="1" si="12"/>
        <v>18.571428571428573</v>
      </c>
      <c r="M71">
        <f t="shared" ca="1" si="13"/>
        <v>24.285714285714285</v>
      </c>
      <c r="N71">
        <f t="shared" ca="1" si="14"/>
        <v>12.857142857142856</v>
      </c>
    </row>
    <row r="72" spans="1:14" x14ac:dyDescent="0.3">
      <c r="A72">
        <f t="shared" ca="1" si="8"/>
        <v>4</v>
      </c>
      <c r="C72">
        <f ca="1">COUNTIF(A$2:A72,1)</f>
        <v>6</v>
      </c>
      <c r="D72">
        <f ca="1">COUNTIF($A$2:$A72,2)</f>
        <v>14</v>
      </c>
      <c r="E72">
        <f ca="1">COUNTIF($A$2:$A72,3)</f>
        <v>11</v>
      </c>
      <c r="F72">
        <f ca="1">COUNTIF($A$2:$A72,4)</f>
        <v>14</v>
      </c>
      <c r="G72">
        <f ca="1">COUNTIF($A$2:$A72,5)</f>
        <v>17</v>
      </c>
      <c r="H72">
        <f ca="1">COUNTIF($A$2:$A72,6)</f>
        <v>9</v>
      </c>
      <c r="I72">
        <f t="shared" ca="1" si="9"/>
        <v>8.4507042253521121</v>
      </c>
      <c r="J72">
        <f t="shared" ca="1" si="10"/>
        <v>19.718309859154928</v>
      </c>
      <c r="K72">
        <f t="shared" ca="1" si="11"/>
        <v>15.492957746478872</v>
      </c>
      <c r="L72">
        <f t="shared" ca="1" si="12"/>
        <v>19.718309859154928</v>
      </c>
      <c r="M72">
        <f t="shared" ca="1" si="13"/>
        <v>23.943661971830984</v>
      </c>
      <c r="N72">
        <f t="shared" ca="1" si="14"/>
        <v>12.676056338028168</v>
      </c>
    </row>
    <row r="73" spans="1:14" x14ac:dyDescent="0.3">
      <c r="A73">
        <f t="shared" ca="1" si="8"/>
        <v>1</v>
      </c>
      <c r="C73">
        <f ca="1">COUNTIF(A$2:A73,1)</f>
        <v>7</v>
      </c>
      <c r="D73">
        <f ca="1">COUNTIF($A$2:$A73,2)</f>
        <v>14</v>
      </c>
      <c r="E73">
        <f ca="1">COUNTIF($A$2:$A73,3)</f>
        <v>11</v>
      </c>
      <c r="F73">
        <f ca="1">COUNTIF($A$2:$A73,4)</f>
        <v>14</v>
      </c>
      <c r="G73">
        <f ca="1">COUNTIF($A$2:$A73,5)</f>
        <v>17</v>
      </c>
      <c r="H73">
        <f ca="1">COUNTIF($A$2:$A73,6)</f>
        <v>9</v>
      </c>
      <c r="I73">
        <f t="shared" ca="1" si="9"/>
        <v>9.7222222222222232</v>
      </c>
      <c r="J73">
        <f t="shared" ca="1" si="10"/>
        <v>19.444444444444446</v>
      </c>
      <c r="K73">
        <f t="shared" ca="1" si="11"/>
        <v>15.277777777777779</v>
      </c>
      <c r="L73">
        <f t="shared" ca="1" si="12"/>
        <v>19.444444444444446</v>
      </c>
      <c r="M73">
        <f t="shared" ca="1" si="13"/>
        <v>23.611111111111111</v>
      </c>
      <c r="N73">
        <f t="shared" ca="1" si="14"/>
        <v>12.5</v>
      </c>
    </row>
    <row r="74" spans="1:14" x14ac:dyDescent="0.3">
      <c r="A74">
        <f t="shared" ca="1" si="8"/>
        <v>4</v>
      </c>
      <c r="C74">
        <f ca="1">COUNTIF(A$2:A74,1)</f>
        <v>7</v>
      </c>
      <c r="D74">
        <f ca="1">COUNTIF($A$2:$A74,2)</f>
        <v>14</v>
      </c>
      <c r="E74">
        <f ca="1">COUNTIF($A$2:$A74,3)</f>
        <v>11</v>
      </c>
      <c r="F74">
        <f ca="1">COUNTIF($A$2:$A74,4)</f>
        <v>15</v>
      </c>
      <c r="G74">
        <f ca="1">COUNTIF($A$2:$A74,5)</f>
        <v>17</v>
      </c>
      <c r="H74">
        <f ca="1">COUNTIF($A$2:$A74,6)</f>
        <v>9</v>
      </c>
      <c r="I74">
        <f t="shared" ca="1" si="9"/>
        <v>9.5890410958904102</v>
      </c>
      <c r="J74">
        <f t="shared" ca="1" si="10"/>
        <v>19.17808219178082</v>
      </c>
      <c r="K74">
        <f t="shared" ca="1" si="11"/>
        <v>15.068493150684931</v>
      </c>
      <c r="L74">
        <f t="shared" ca="1" si="12"/>
        <v>20.547945205479451</v>
      </c>
      <c r="M74">
        <f t="shared" ca="1" si="13"/>
        <v>23.287671232876711</v>
      </c>
      <c r="N74">
        <f t="shared" ca="1" si="14"/>
        <v>12.328767123287671</v>
      </c>
    </row>
    <row r="75" spans="1:14" x14ac:dyDescent="0.3">
      <c r="A75">
        <f t="shared" ca="1" si="8"/>
        <v>5</v>
      </c>
      <c r="C75">
        <f ca="1">COUNTIF(A$2:A75,1)</f>
        <v>7</v>
      </c>
      <c r="D75">
        <f ca="1">COUNTIF($A$2:$A75,2)</f>
        <v>14</v>
      </c>
      <c r="E75">
        <f ca="1">COUNTIF($A$2:$A75,3)</f>
        <v>11</v>
      </c>
      <c r="F75">
        <f ca="1">COUNTIF($A$2:$A75,4)</f>
        <v>15</v>
      </c>
      <c r="G75">
        <f ca="1">COUNTIF($A$2:$A75,5)</f>
        <v>18</v>
      </c>
      <c r="H75">
        <f ca="1">COUNTIF($A$2:$A75,6)</f>
        <v>9</v>
      </c>
      <c r="I75">
        <f t="shared" ca="1" si="9"/>
        <v>9.4594594594594597</v>
      </c>
      <c r="J75">
        <f t="shared" ca="1" si="10"/>
        <v>18.918918918918919</v>
      </c>
      <c r="K75">
        <f t="shared" ca="1" si="11"/>
        <v>14.864864864864865</v>
      </c>
      <c r="L75">
        <f t="shared" ca="1" si="12"/>
        <v>20.27027027027027</v>
      </c>
      <c r="M75">
        <f t="shared" ca="1" si="13"/>
        <v>24.324324324324326</v>
      </c>
      <c r="N75">
        <f t="shared" ca="1" si="14"/>
        <v>12.162162162162163</v>
      </c>
    </row>
    <row r="76" spans="1:14" x14ac:dyDescent="0.3">
      <c r="A76">
        <f t="shared" ca="1" si="8"/>
        <v>5</v>
      </c>
      <c r="C76">
        <f ca="1">COUNTIF(A$2:A76,1)</f>
        <v>7</v>
      </c>
      <c r="D76">
        <f ca="1">COUNTIF($A$2:$A76,2)</f>
        <v>14</v>
      </c>
      <c r="E76">
        <f ca="1">COUNTIF($A$2:$A76,3)</f>
        <v>11</v>
      </c>
      <c r="F76">
        <f ca="1">COUNTIF($A$2:$A76,4)</f>
        <v>15</v>
      </c>
      <c r="G76">
        <f ca="1">COUNTIF($A$2:$A76,5)</f>
        <v>19</v>
      </c>
      <c r="H76">
        <f ca="1">COUNTIF($A$2:$A76,6)</f>
        <v>9</v>
      </c>
      <c r="I76">
        <f t="shared" ca="1" si="9"/>
        <v>9.3333333333333339</v>
      </c>
      <c r="J76">
        <f t="shared" ca="1" si="10"/>
        <v>18.666666666666668</v>
      </c>
      <c r="K76">
        <f t="shared" ca="1" si="11"/>
        <v>14.666666666666666</v>
      </c>
      <c r="L76">
        <f t="shared" ca="1" si="12"/>
        <v>20</v>
      </c>
      <c r="M76">
        <f t="shared" ca="1" si="13"/>
        <v>25.333333333333336</v>
      </c>
      <c r="N76">
        <f t="shared" ca="1" si="14"/>
        <v>12</v>
      </c>
    </row>
    <row r="77" spans="1:14" x14ac:dyDescent="0.3">
      <c r="A77">
        <f t="shared" ca="1" si="8"/>
        <v>4</v>
      </c>
      <c r="C77">
        <f ca="1">COUNTIF(A$2:A77,1)</f>
        <v>7</v>
      </c>
      <c r="D77">
        <f ca="1">COUNTIF($A$2:$A77,2)</f>
        <v>14</v>
      </c>
      <c r="E77">
        <f ca="1">COUNTIF($A$2:$A77,3)</f>
        <v>11</v>
      </c>
      <c r="F77">
        <f ca="1">COUNTIF($A$2:$A77,4)</f>
        <v>16</v>
      </c>
      <c r="G77">
        <f ca="1">COUNTIF($A$2:$A77,5)</f>
        <v>19</v>
      </c>
      <c r="H77">
        <f ca="1">COUNTIF($A$2:$A77,6)</f>
        <v>9</v>
      </c>
      <c r="I77">
        <f t="shared" ca="1" si="9"/>
        <v>9.2105263157894726</v>
      </c>
      <c r="J77">
        <f t="shared" ca="1" si="10"/>
        <v>18.421052631578945</v>
      </c>
      <c r="K77">
        <f t="shared" ca="1" si="11"/>
        <v>14.473684210526317</v>
      </c>
      <c r="L77">
        <f t="shared" ca="1" si="12"/>
        <v>21.052631578947366</v>
      </c>
      <c r="M77">
        <f t="shared" ca="1" si="13"/>
        <v>25</v>
      </c>
      <c r="N77">
        <f t="shared" ca="1" si="14"/>
        <v>11.842105263157894</v>
      </c>
    </row>
    <row r="78" spans="1:14" x14ac:dyDescent="0.3">
      <c r="A78">
        <f t="shared" ca="1" si="8"/>
        <v>2</v>
      </c>
      <c r="C78">
        <f ca="1">COUNTIF(A$2:A78,1)</f>
        <v>7</v>
      </c>
      <c r="D78">
        <f ca="1">COUNTIF($A$2:$A78,2)</f>
        <v>15</v>
      </c>
      <c r="E78">
        <f ca="1">COUNTIF($A$2:$A78,3)</f>
        <v>11</v>
      </c>
      <c r="F78">
        <f ca="1">COUNTIF($A$2:$A78,4)</f>
        <v>16</v>
      </c>
      <c r="G78">
        <f ca="1">COUNTIF($A$2:$A78,5)</f>
        <v>19</v>
      </c>
      <c r="H78">
        <f ca="1">COUNTIF($A$2:$A78,6)</f>
        <v>9</v>
      </c>
      <c r="I78">
        <f t="shared" ca="1" si="9"/>
        <v>9.0909090909090917</v>
      </c>
      <c r="J78">
        <f t="shared" ca="1" si="10"/>
        <v>19.480519480519483</v>
      </c>
      <c r="K78">
        <f t="shared" ca="1" si="11"/>
        <v>14.285714285714285</v>
      </c>
      <c r="L78">
        <f t="shared" ca="1" si="12"/>
        <v>20.779220779220779</v>
      </c>
      <c r="M78">
        <f t="shared" ca="1" si="13"/>
        <v>24.675324675324674</v>
      </c>
      <c r="N78">
        <f t="shared" ca="1" si="14"/>
        <v>11.688311688311687</v>
      </c>
    </row>
    <row r="79" spans="1:14" x14ac:dyDescent="0.3">
      <c r="A79">
        <f t="shared" ca="1" si="8"/>
        <v>1</v>
      </c>
      <c r="C79">
        <f ca="1">COUNTIF(A$2:A79,1)</f>
        <v>8</v>
      </c>
      <c r="D79">
        <f ca="1">COUNTIF($A$2:$A79,2)</f>
        <v>15</v>
      </c>
      <c r="E79">
        <f ca="1">COUNTIF($A$2:$A79,3)</f>
        <v>11</v>
      </c>
      <c r="F79">
        <f ca="1">COUNTIF($A$2:$A79,4)</f>
        <v>16</v>
      </c>
      <c r="G79">
        <f ca="1">COUNTIF($A$2:$A79,5)</f>
        <v>19</v>
      </c>
      <c r="H79">
        <f ca="1">COUNTIF($A$2:$A79,6)</f>
        <v>9</v>
      </c>
      <c r="I79">
        <f t="shared" ca="1" si="9"/>
        <v>10.256410256410255</v>
      </c>
      <c r="J79">
        <f t="shared" ca="1" si="10"/>
        <v>19.230769230769234</v>
      </c>
      <c r="K79">
        <f t="shared" ca="1" si="11"/>
        <v>14.102564102564102</v>
      </c>
      <c r="L79">
        <f t="shared" ca="1" si="12"/>
        <v>20.512820512820511</v>
      </c>
      <c r="M79">
        <f t="shared" ca="1" si="13"/>
        <v>24.358974358974358</v>
      </c>
      <c r="N79">
        <f t="shared" ca="1" si="14"/>
        <v>11.538461538461538</v>
      </c>
    </row>
    <row r="80" spans="1:14" x14ac:dyDescent="0.3">
      <c r="A80">
        <f t="shared" ca="1" si="8"/>
        <v>3</v>
      </c>
      <c r="C80">
        <f ca="1">COUNTIF(A$2:A80,1)</f>
        <v>8</v>
      </c>
      <c r="D80">
        <f ca="1">COUNTIF($A$2:$A80,2)</f>
        <v>15</v>
      </c>
      <c r="E80">
        <f ca="1">COUNTIF($A$2:$A80,3)</f>
        <v>12</v>
      </c>
      <c r="F80">
        <f ca="1">COUNTIF($A$2:$A80,4)</f>
        <v>16</v>
      </c>
      <c r="G80">
        <f ca="1">COUNTIF($A$2:$A80,5)</f>
        <v>19</v>
      </c>
      <c r="H80">
        <f ca="1">COUNTIF($A$2:$A80,6)</f>
        <v>9</v>
      </c>
      <c r="I80">
        <f t="shared" ca="1" si="9"/>
        <v>10.126582278481013</v>
      </c>
      <c r="J80">
        <f t="shared" ca="1" si="10"/>
        <v>18.9873417721519</v>
      </c>
      <c r="K80">
        <f t="shared" ca="1" si="11"/>
        <v>15.18987341772152</v>
      </c>
      <c r="L80">
        <f t="shared" ca="1" si="12"/>
        <v>20.253164556962027</v>
      </c>
      <c r="M80">
        <f t="shared" ca="1" si="13"/>
        <v>24.050632911392405</v>
      </c>
      <c r="N80">
        <f t="shared" ca="1" si="14"/>
        <v>11.39240506329114</v>
      </c>
    </row>
    <row r="81" spans="1:14" x14ac:dyDescent="0.3">
      <c r="A81">
        <f t="shared" ca="1" si="8"/>
        <v>2</v>
      </c>
      <c r="C81">
        <f ca="1">COUNTIF(A$2:A81,1)</f>
        <v>8</v>
      </c>
      <c r="D81">
        <f ca="1">COUNTIF($A$2:$A81,2)</f>
        <v>16</v>
      </c>
      <c r="E81">
        <f ca="1">COUNTIF($A$2:$A81,3)</f>
        <v>12</v>
      </c>
      <c r="F81">
        <f ca="1">COUNTIF($A$2:$A81,4)</f>
        <v>16</v>
      </c>
      <c r="G81">
        <f ca="1">COUNTIF($A$2:$A81,5)</f>
        <v>19</v>
      </c>
      <c r="H81">
        <f ca="1">COUNTIF($A$2:$A81,6)</f>
        <v>9</v>
      </c>
      <c r="I81">
        <f t="shared" ca="1" si="9"/>
        <v>10</v>
      </c>
      <c r="J81">
        <f t="shared" ca="1" si="10"/>
        <v>20</v>
      </c>
      <c r="K81">
        <f t="shared" ca="1" si="11"/>
        <v>15</v>
      </c>
      <c r="L81">
        <f t="shared" ca="1" si="12"/>
        <v>20</v>
      </c>
      <c r="M81">
        <f t="shared" ca="1" si="13"/>
        <v>23.75</v>
      </c>
      <c r="N81">
        <f t="shared" ca="1" si="14"/>
        <v>11.25</v>
      </c>
    </row>
    <row r="82" spans="1:14" x14ac:dyDescent="0.3">
      <c r="A82">
        <f t="shared" ca="1" si="8"/>
        <v>5</v>
      </c>
      <c r="C82">
        <f ca="1">COUNTIF(A$2:A82,1)</f>
        <v>8</v>
      </c>
      <c r="D82">
        <f ca="1">COUNTIF($A$2:$A82,2)</f>
        <v>16</v>
      </c>
      <c r="E82">
        <f ca="1">COUNTIF($A$2:$A82,3)</f>
        <v>12</v>
      </c>
      <c r="F82">
        <f ca="1">COUNTIF($A$2:$A82,4)</f>
        <v>16</v>
      </c>
      <c r="G82">
        <f ca="1">COUNTIF($A$2:$A82,5)</f>
        <v>20</v>
      </c>
      <c r="H82">
        <f ca="1">COUNTIF($A$2:$A82,6)</f>
        <v>9</v>
      </c>
      <c r="I82">
        <f t="shared" ca="1" si="9"/>
        <v>9.8765432098765427</v>
      </c>
      <c r="J82">
        <f t="shared" ca="1" si="10"/>
        <v>19.753086419753085</v>
      </c>
      <c r="K82">
        <f t="shared" ca="1" si="11"/>
        <v>14.814814814814813</v>
      </c>
      <c r="L82">
        <f t="shared" ca="1" si="12"/>
        <v>19.753086419753085</v>
      </c>
      <c r="M82">
        <f t="shared" ca="1" si="13"/>
        <v>24.691358024691358</v>
      </c>
      <c r="N82">
        <f t="shared" ca="1" si="14"/>
        <v>11.111111111111111</v>
      </c>
    </row>
    <row r="83" spans="1:14" x14ac:dyDescent="0.3">
      <c r="A83">
        <f t="shared" ca="1" si="8"/>
        <v>2</v>
      </c>
      <c r="C83">
        <f ca="1">COUNTIF(A$2:A83,1)</f>
        <v>8</v>
      </c>
      <c r="D83">
        <f ca="1">COUNTIF($A$2:$A83,2)</f>
        <v>17</v>
      </c>
      <c r="E83">
        <f ca="1">COUNTIF($A$2:$A83,3)</f>
        <v>12</v>
      </c>
      <c r="F83">
        <f ca="1">COUNTIF($A$2:$A83,4)</f>
        <v>16</v>
      </c>
      <c r="G83">
        <f ca="1">COUNTIF($A$2:$A83,5)</f>
        <v>20</v>
      </c>
      <c r="H83">
        <f ca="1">COUNTIF($A$2:$A83,6)</f>
        <v>9</v>
      </c>
      <c r="I83">
        <f t="shared" ca="1" si="9"/>
        <v>9.7560975609756095</v>
      </c>
      <c r="J83">
        <f t="shared" ca="1" si="10"/>
        <v>20.73170731707317</v>
      </c>
      <c r="K83">
        <f t="shared" ca="1" si="11"/>
        <v>14.634146341463413</v>
      </c>
      <c r="L83">
        <f t="shared" ca="1" si="12"/>
        <v>19.512195121951219</v>
      </c>
      <c r="M83">
        <f t="shared" ca="1" si="13"/>
        <v>24.390243902439025</v>
      </c>
      <c r="N83">
        <f t="shared" ca="1" si="14"/>
        <v>10.975609756097562</v>
      </c>
    </row>
    <row r="84" spans="1:14" x14ac:dyDescent="0.3">
      <c r="A84">
        <f t="shared" ca="1" si="8"/>
        <v>6</v>
      </c>
      <c r="C84">
        <f ca="1">COUNTIF(A$2:A84,1)</f>
        <v>8</v>
      </c>
      <c r="D84">
        <f ca="1">COUNTIF($A$2:$A84,2)</f>
        <v>17</v>
      </c>
      <c r="E84">
        <f ca="1">COUNTIF($A$2:$A84,3)</f>
        <v>12</v>
      </c>
      <c r="F84">
        <f ca="1">COUNTIF($A$2:$A84,4)</f>
        <v>16</v>
      </c>
      <c r="G84">
        <f ca="1">COUNTIF($A$2:$A84,5)</f>
        <v>20</v>
      </c>
      <c r="H84">
        <f ca="1">COUNTIF($A$2:$A84,6)</f>
        <v>10</v>
      </c>
      <c r="I84">
        <f t="shared" ca="1" si="9"/>
        <v>9.6385542168674707</v>
      </c>
      <c r="J84">
        <f t="shared" ca="1" si="10"/>
        <v>20.481927710843372</v>
      </c>
      <c r="K84">
        <f t="shared" ca="1" si="11"/>
        <v>14.457831325301203</v>
      </c>
      <c r="L84">
        <f t="shared" ca="1" si="12"/>
        <v>19.277108433734941</v>
      </c>
      <c r="M84">
        <f t="shared" ca="1" si="13"/>
        <v>24.096385542168676</v>
      </c>
      <c r="N84">
        <f t="shared" ca="1" si="14"/>
        <v>12.048192771084338</v>
      </c>
    </row>
    <row r="85" spans="1:14" x14ac:dyDescent="0.3">
      <c r="A85">
        <f t="shared" ca="1" si="8"/>
        <v>3</v>
      </c>
      <c r="C85">
        <f ca="1">COUNTIF(A$2:A85,1)</f>
        <v>8</v>
      </c>
      <c r="D85">
        <f ca="1">COUNTIF($A$2:$A85,2)</f>
        <v>17</v>
      </c>
      <c r="E85">
        <f ca="1">COUNTIF($A$2:$A85,3)</f>
        <v>13</v>
      </c>
      <c r="F85">
        <f ca="1">COUNTIF($A$2:$A85,4)</f>
        <v>16</v>
      </c>
      <c r="G85">
        <f ca="1">COUNTIF($A$2:$A85,5)</f>
        <v>20</v>
      </c>
      <c r="H85">
        <f ca="1">COUNTIF($A$2:$A85,6)</f>
        <v>10</v>
      </c>
      <c r="I85">
        <f t="shared" ca="1" si="9"/>
        <v>9.5238095238095237</v>
      </c>
      <c r="J85">
        <f t="shared" ca="1" si="10"/>
        <v>20.238095238095237</v>
      </c>
      <c r="K85">
        <f t="shared" ca="1" si="11"/>
        <v>15.476190476190476</v>
      </c>
      <c r="L85">
        <f t="shared" ca="1" si="12"/>
        <v>19.047619047619047</v>
      </c>
      <c r="M85">
        <f t="shared" ca="1" si="13"/>
        <v>23.809523809523807</v>
      </c>
      <c r="N85">
        <f t="shared" ca="1" si="14"/>
        <v>11.904761904761903</v>
      </c>
    </row>
    <row r="86" spans="1:14" x14ac:dyDescent="0.3">
      <c r="A86">
        <f t="shared" ca="1" si="8"/>
        <v>3</v>
      </c>
      <c r="C86">
        <f ca="1">COUNTIF(A$2:A86,1)</f>
        <v>8</v>
      </c>
      <c r="D86">
        <f ca="1">COUNTIF($A$2:$A86,2)</f>
        <v>17</v>
      </c>
      <c r="E86">
        <f ca="1">COUNTIF($A$2:$A86,3)</f>
        <v>14</v>
      </c>
      <c r="F86">
        <f ca="1">COUNTIF($A$2:$A86,4)</f>
        <v>16</v>
      </c>
      <c r="G86">
        <f ca="1">COUNTIF($A$2:$A86,5)</f>
        <v>20</v>
      </c>
      <c r="H86">
        <f ca="1">COUNTIF($A$2:$A86,6)</f>
        <v>10</v>
      </c>
      <c r="I86">
        <f t="shared" ca="1" si="9"/>
        <v>9.4117647058823533</v>
      </c>
      <c r="J86">
        <f t="shared" ca="1" si="10"/>
        <v>20</v>
      </c>
      <c r="K86">
        <f t="shared" ca="1" si="11"/>
        <v>16.470588235294116</v>
      </c>
      <c r="L86">
        <f t="shared" ca="1" si="12"/>
        <v>18.823529411764707</v>
      </c>
      <c r="M86">
        <f t="shared" ca="1" si="13"/>
        <v>23.52941176470588</v>
      </c>
      <c r="N86">
        <f t="shared" ca="1" si="14"/>
        <v>11.76470588235294</v>
      </c>
    </row>
    <row r="87" spans="1:14" x14ac:dyDescent="0.3">
      <c r="A87">
        <f t="shared" ca="1" si="8"/>
        <v>3</v>
      </c>
      <c r="C87">
        <f ca="1">COUNTIF(A$2:A87,1)</f>
        <v>8</v>
      </c>
      <c r="D87">
        <f ca="1">COUNTIF($A$2:$A87,2)</f>
        <v>17</v>
      </c>
      <c r="E87">
        <f ca="1">COUNTIF($A$2:$A87,3)</f>
        <v>15</v>
      </c>
      <c r="F87">
        <f ca="1">COUNTIF($A$2:$A87,4)</f>
        <v>16</v>
      </c>
      <c r="G87">
        <f ca="1">COUNTIF($A$2:$A87,5)</f>
        <v>20</v>
      </c>
      <c r="H87">
        <f ca="1">COUNTIF($A$2:$A87,6)</f>
        <v>10</v>
      </c>
      <c r="I87">
        <f t="shared" ca="1" si="9"/>
        <v>9.3023255813953494</v>
      </c>
      <c r="J87">
        <f t="shared" ca="1" si="10"/>
        <v>19.767441860465116</v>
      </c>
      <c r="K87">
        <f t="shared" ca="1" si="11"/>
        <v>17.441860465116278</v>
      </c>
      <c r="L87">
        <f t="shared" ca="1" si="12"/>
        <v>18.604651162790699</v>
      </c>
      <c r="M87">
        <f t="shared" ca="1" si="13"/>
        <v>23.255813953488371</v>
      </c>
      <c r="N87">
        <f t="shared" ca="1" si="14"/>
        <v>11.627906976744185</v>
      </c>
    </row>
    <row r="88" spans="1:14" x14ac:dyDescent="0.3">
      <c r="A88">
        <f t="shared" ca="1" si="8"/>
        <v>6</v>
      </c>
      <c r="C88">
        <f ca="1">COUNTIF(A$2:A88,1)</f>
        <v>8</v>
      </c>
      <c r="D88">
        <f ca="1">COUNTIF($A$2:$A88,2)</f>
        <v>17</v>
      </c>
      <c r="E88">
        <f ca="1">COUNTIF($A$2:$A88,3)</f>
        <v>15</v>
      </c>
      <c r="F88">
        <f ca="1">COUNTIF($A$2:$A88,4)</f>
        <v>16</v>
      </c>
      <c r="G88">
        <f ca="1">COUNTIF($A$2:$A88,5)</f>
        <v>20</v>
      </c>
      <c r="H88">
        <f ca="1">COUNTIF($A$2:$A88,6)</f>
        <v>11</v>
      </c>
      <c r="I88">
        <f t="shared" ca="1" si="9"/>
        <v>9.1954022988505741</v>
      </c>
      <c r="J88">
        <f t="shared" ca="1" si="10"/>
        <v>19.540229885057471</v>
      </c>
      <c r="K88">
        <f t="shared" ca="1" si="11"/>
        <v>17.241379310344829</v>
      </c>
      <c r="L88">
        <f t="shared" ca="1" si="12"/>
        <v>18.390804597701148</v>
      </c>
      <c r="M88">
        <f t="shared" ca="1" si="13"/>
        <v>22.988505747126435</v>
      </c>
      <c r="N88">
        <f t="shared" ca="1" si="14"/>
        <v>12.643678160919542</v>
      </c>
    </row>
    <row r="89" spans="1:14" x14ac:dyDescent="0.3">
      <c r="A89">
        <f t="shared" ca="1" si="8"/>
        <v>4</v>
      </c>
      <c r="C89">
        <f ca="1">COUNTIF(A$2:A89,1)</f>
        <v>8</v>
      </c>
      <c r="D89">
        <f ca="1">COUNTIF($A$2:$A89,2)</f>
        <v>17</v>
      </c>
      <c r="E89">
        <f ca="1">COUNTIF($A$2:$A89,3)</f>
        <v>15</v>
      </c>
      <c r="F89">
        <f ca="1">COUNTIF($A$2:$A89,4)</f>
        <v>17</v>
      </c>
      <c r="G89">
        <f ca="1">COUNTIF($A$2:$A89,5)</f>
        <v>20</v>
      </c>
      <c r="H89">
        <f ca="1">COUNTIF($A$2:$A89,6)</f>
        <v>11</v>
      </c>
      <c r="I89">
        <f t="shared" ca="1" si="9"/>
        <v>9.0909090909090917</v>
      </c>
      <c r="J89">
        <f t="shared" ca="1" si="10"/>
        <v>19.318181818181817</v>
      </c>
      <c r="K89">
        <f t="shared" ca="1" si="11"/>
        <v>17.045454545454543</v>
      </c>
      <c r="L89">
        <f t="shared" ca="1" si="12"/>
        <v>19.318181818181817</v>
      </c>
      <c r="M89">
        <f t="shared" ca="1" si="13"/>
        <v>22.727272727272727</v>
      </c>
      <c r="N89">
        <f t="shared" ca="1" si="14"/>
        <v>12.5</v>
      </c>
    </row>
    <row r="90" spans="1:14" x14ac:dyDescent="0.3">
      <c r="A90">
        <f t="shared" ca="1" si="8"/>
        <v>1</v>
      </c>
      <c r="C90">
        <f ca="1">COUNTIF(A$2:A90,1)</f>
        <v>9</v>
      </c>
      <c r="D90">
        <f ca="1">COUNTIF($A$2:$A90,2)</f>
        <v>17</v>
      </c>
      <c r="E90">
        <f ca="1">COUNTIF($A$2:$A90,3)</f>
        <v>15</v>
      </c>
      <c r="F90">
        <f ca="1">COUNTIF($A$2:$A90,4)</f>
        <v>17</v>
      </c>
      <c r="G90">
        <f ca="1">COUNTIF($A$2:$A90,5)</f>
        <v>20</v>
      </c>
      <c r="H90">
        <f ca="1">COUNTIF($A$2:$A90,6)</f>
        <v>11</v>
      </c>
      <c r="I90">
        <f t="shared" ca="1" si="9"/>
        <v>10.112359550561797</v>
      </c>
      <c r="J90">
        <f t="shared" ca="1" si="10"/>
        <v>19.101123595505616</v>
      </c>
      <c r="K90">
        <f t="shared" ca="1" si="11"/>
        <v>16.853932584269664</v>
      </c>
      <c r="L90">
        <f t="shared" ca="1" si="12"/>
        <v>19.101123595505616</v>
      </c>
      <c r="M90">
        <f t="shared" ca="1" si="13"/>
        <v>22.471910112359549</v>
      </c>
      <c r="N90">
        <f t="shared" ca="1" si="14"/>
        <v>12.359550561797752</v>
      </c>
    </row>
    <row r="91" spans="1:14" x14ac:dyDescent="0.3">
      <c r="A91">
        <f t="shared" ca="1" si="8"/>
        <v>2</v>
      </c>
      <c r="C91">
        <f ca="1">COUNTIF(A$2:A91,1)</f>
        <v>9</v>
      </c>
      <c r="D91">
        <f ca="1">COUNTIF($A$2:$A91,2)</f>
        <v>18</v>
      </c>
      <c r="E91">
        <f ca="1">COUNTIF($A$2:$A91,3)</f>
        <v>15</v>
      </c>
      <c r="F91">
        <f ca="1">COUNTIF($A$2:$A91,4)</f>
        <v>17</v>
      </c>
      <c r="G91">
        <f ca="1">COUNTIF($A$2:$A91,5)</f>
        <v>20</v>
      </c>
      <c r="H91">
        <f ca="1">COUNTIF($A$2:$A91,6)</f>
        <v>11</v>
      </c>
      <c r="I91">
        <f t="shared" ca="1" si="9"/>
        <v>10</v>
      </c>
      <c r="J91">
        <f t="shared" ca="1" si="10"/>
        <v>20</v>
      </c>
      <c r="K91">
        <f t="shared" ca="1" si="11"/>
        <v>16.666666666666664</v>
      </c>
      <c r="L91">
        <f t="shared" ca="1" si="12"/>
        <v>18.888888888888889</v>
      </c>
      <c r="M91">
        <f t="shared" ca="1" si="13"/>
        <v>22.222222222222221</v>
      </c>
      <c r="N91">
        <f t="shared" ca="1" si="14"/>
        <v>12.222222222222221</v>
      </c>
    </row>
    <row r="92" spans="1:14" x14ac:dyDescent="0.3">
      <c r="A92">
        <f t="shared" ca="1" si="8"/>
        <v>1</v>
      </c>
      <c r="C92">
        <f ca="1">COUNTIF(A$2:A92,1)</f>
        <v>10</v>
      </c>
      <c r="D92">
        <f ca="1">COUNTIF($A$2:$A92,2)</f>
        <v>18</v>
      </c>
      <c r="E92">
        <f ca="1">COUNTIF($A$2:$A92,3)</f>
        <v>15</v>
      </c>
      <c r="F92">
        <f ca="1">COUNTIF($A$2:$A92,4)</f>
        <v>17</v>
      </c>
      <c r="G92">
        <f ca="1">COUNTIF($A$2:$A92,5)</f>
        <v>20</v>
      </c>
      <c r="H92">
        <f ca="1">COUNTIF($A$2:$A92,6)</f>
        <v>11</v>
      </c>
      <c r="I92">
        <f t="shared" ca="1" si="9"/>
        <v>10.989010989010989</v>
      </c>
      <c r="J92">
        <f t="shared" ca="1" si="10"/>
        <v>19.780219780219781</v>
      </c>
      <c r="K92">
        <f t="shared" ca="1" si="11"/>
        <v>16.483516483516482</v>
      </c>
      <c r="L92">
        <f t="shared" ca="1" si="12"/>
        <v>18.681318681318682</v>
      </c>
      <c r="M92">
        <f t="shared" ca="1" si="13"/>
        <v>21.978021978021978</v>
      </c>
      <c r="N92">
        <f t="shared" ca="1" si="14"/>
        <v>12.087912087912088</v>
      </c>
    </row>
    <row r="93" spans="1:14" x14ac:dyDescent="0.3">
      <c r="A93">
        <f t="shared" ca="1" si="8"/>
        <v>3</v>
      </c>
      <c r="C93">
        <f ca="1">COUNTIF(A$2:A93,1)</f>
        <v>10</v>
      </c>
      <c r="D93">
        <f ca="1">COUNTIF($A$2:$A93,2)</f>
        <v>18</v>
      </c>
      <c r="E93">
        <f ca="1">COUNTIF($A$2:$A93,3)</f>
        <v>16</v>
      </c>
      <c r="F93">
        <f ca="1">COUNTIF($A$2:$A93,4)</f>
        <v>17</v>
      </c>
      <c r="G93">
        <f ca="1">COUNTIF($A$2:$A93,5)</f>
        <v>20</v>
      </c>
      <c r="H93">
        <f ca="1">COUNTIF($A$2:$A93,6)</f>
        <v>11</v>
      </c>
      <c r="I93">
        <f t="shared" ca="1" si="9"/>
        <v>10.869565217391305</v>
      </c>
      <c r="J93">
        <f t="shared" ca="1" si="10"/>
        <v>19.565217391304348</v>
      </c>
      <c r="K93">
        <f t="shared" ca="1" si="11"/>
        <v>17.391304347826086</v>
      </c>
      <c r="L93">
        <f t="shared" ca="1" si="12"/>
        <v>18.478260869565215</v>
      </c>
      <c r="M93">
        <f t="shared" ca="1" si="13"/>
        <v>21.739130434782609</v>
      </c>
      <c r="N93">
        <f t="shared" ca="1" si="14"/>
        <v>11.956521739130435</v>
      </c>
    </row>
    <row r="94" spans="1:14" x14ac:dyDescent="0.3">
      <c r="A94">
        <f t="shared" ca="1" si="8"/>
        <v>6</v>
      </c>
      <c r="C94">
        <f ca="1">COUNTIF(A$2:A94,1)</f>
        <v>10</v>
      </c>
      <c r="D94">
        <f ca="1">COUNTIF($A$2:$A94,2)</f>
        <v>18</v>
      </c>
      <c r="E94">
        <f ca="1">COUNTIF($A$2:$A94,3)</f>
        <v>16</v>
      </c>
      <c r="F94">
        <f ca="1">COUNTIF($A$2:$A94,4)</f>
        <v>17</v>
      </c>
      <c r="G94">
        <f ca="1">COUNTIF($A$2:$A94,5)</f>
        <v>20</v>
      </c>
      <c r="H94">
        <f ca="1">COUNTIF($A$2:$A94,6)</f>
        <v>12</v>
      </c>
      <c r="I94">
        <f t="shared" ca="1" si="9"/>
        <v>10.75268817204301</v>
      </c>
      <c r="J94">
        <f t="shared" ca="1" si="10"/>
        <v>19.35483870967742</v>
      </c>
      <c r="K94">
        <f t="shared" ca="1" si="11"/>
        <v>17.20430107526882</v>
      </c>
      <c r="L94">
        <f t="shared" ca="1" si="12"/>
        <v>18.27956989247312</v>
      </c>
      <c r="M94">
        <f t="shared" ca="1" si="13"/>
        <v>21.50537634408602</v>
      </c>
      <c r="N94">
        <f t="shared" ca="1" si="14"/>
        <v>12.903225806451612</v>
      </c>
    </row>
    <row r="95" spans="1:14" x14ac:dyDescent="0.3">
      <c r="A95">
        <f t="shared" ca="1" si="8"/>
        <v>6</v>
      </c>
      <c r="C95">
        <f ca="1">COUNTIF(A$2:A95,1)</f>
        <v>10</v>
      </c>
      <c r="D95">
        <f ca="1">COUNTIF($A$2:$A95,2)</f>
        <v>18</v>
      </c>
      <c r="E95">
        <f ca="1">COUNTIF($A$2:$A95,3)</f>
        <v>16</v>
      </c>
      <c r="F95">
        <f ca="1">COUNTIF($A$2:$A95,4)</f>
        <v>17</v>
      </c>
      <c r="G95">
        <f ca="1">COUNTIF($A$2:$A95,5)</f>
        <v>20</v>
      </c>
      <c r="H95">
        <f ca="1">COUNTIF($A$2:$A95,6)</f>
        <v>13</v>
      </c>
      <c r="I95">
        <f t="shared" ca="1" si="9"/>
        <v>10.638297872340425</v>
      </c>
      <c r="J95">
        <f t="shared" ca="1" si="10"/>
        <v>19.148936170212767</v>
      </c>
      <c r="K95">
        <f t="shared" ca="1" si="11"/>
        <v>17.021276595744681</v>
      </c>
      <c r="L95">
        <f t="shared" ca="1" si="12"/>
        <v>18.085106382978726</v>
      </c>
      <c r="M95">
        <f t="shared" ca="1" si="13"/>
        <v>21.276595744680851</v>
      </c>
      <c r="N95">
        <f t="shared" ca="1" si="14"/>
        <v>13.829787234042554</v>
      </c>
    </row>
    <row r="96" spans="1:14" x14ac:dyDescent="0.3">
      <c r="A96">
        <f t="shared" ca="1" si="8"/>
        <v>3</v>
      </c>
      <c r="C96">
        <f ca="1">COUNTIF(A$2:A96,1)</f>
        <v>10</v>
      </c>
      <c r="D96">
        <f ca="1">COUNTIF($A$2:$A96,2)</f>
        <v>18</v>
      </c>
      <c r="E96">
        <f ca="1">COUNTIF($A$2:$A96,3)</f>
        <v>17</v>
      </c>
      <c r="F96">
        <f ca="1">COUNTIF($A$2:$A96,4)</f>
        <v>17</v>
      </c>
      <c r="G96">
        <f ca="1">COUNTIF($A$2:$A96,5)</f>
        <v>20</v>
      </c>
      <c r="H96">
        <f ca="1">COUNTIF($A$2:$A96,6)</f>
        <v>13</v>
      </c>
      <c r="I96">
        <f t="shared" ca="1" si="9"/>
        <v>10.526315789473683</v>
      </c>
      <c r="J96">
        <f t="shared" ca="1" si="10"/>
        <v>18.947368421052634</v>
      </c>
      <c r="K96">
        <f t="shared" ca="1" si="11"/>
        <v>17.894736842105264</v>
      </c>
      <c r="L96">
        <f t="shared" ca="1" si="12"/>
        <v>17.894736842105264</v>
      </c>
      <c r="M96">
        <f t="shared" ca="1" si="13"/>
        <v>21.052631578947366</v>
      </c>
      <c r="N96">
        <f t="shared" ca="1" si="14"/>
        <v>13.684210526315791</v>
      </c>
    </row>
    <row r="97" spans="1:14" x14ac:dyDescent="0.3">
      <c r="A97">
        <f t="shared" ca="1" si="8"/>
        <v>4</v>
      </c>
      <c r="C97">
        <f ca="1">COUNTIF(A$2:A97,1)</f>
        <v>10</v>
      </c>
      <c r="D97">
        <f ca="1">COUNTIF($A$2:$A97,2)</f>
        <v>18</v>
      </c>
      <c r="E97">
        <f ca="1">COUNTIF($A$2:$A97,3)</f>
        <v>17</v>
      </c>
      <c r="F97">
        <f ca="1">COUNTIF($A$2:$A97,4)</f>
        <v>18</v>
      </c>
      <c r="G97">
        <f ca="1">COUNTIF($A$2:$A97,5)</f>
        <v>20</v>
      </c>
      <c r="H97">
        <f ca="1">COUNTIF($A$2:$A97,6)</f>
        <v>13</v>
      </c>
      <c r="I97">
        <f t="shared" ca="1" si="9"/>
        <v>10.416666666666668</v>
      </c>
      <c r="J97">
        <f t="shared" ca="1" si="10"/>
        <v>18.75</v>
      </c>
      <c r="K97">
        <f t="shared" ca="1" si="11"/>
        <v>17.708333333333336</v>
      </c>
      <c r="L97">
        <f t="shared" ca="1" si="12"/>
        <v>18.75</v>
      </c>
      <c r="M97">
        <f t="shared" ca="1" si="13"/>
        <v>20.833333333333336</v>
      </c>
      <c r="N97">
        <f t="shared" ca="1" si="14"/>
        <v>13.541666666666666</v>
      </c>
    </row>
    <row r="98" spans="1:14" x14ac:dyDescent="0.3">
      <c r="A98">
        <f t="shared" ca="1" si="8"/>
        <v>5</v>
      </c>
      <c r="C98">
        <f ca="1">COUNTIF(A$2:A98,1)</f>
        <v>10</v>
      </c>
      <c r="D98">
        <f ca="1">COUNTIF($A$2:$A98,2)</f>
        <v>18</v>
      </c>
      <c r="E98">
        <f ca="1">COUNTIF($A$2:$A98,3)</f>
        <v>17</v>
      </c>
      <c r="F98">
        <f ca="1">COUNTIF($A$2:$A98,4)</f>
        <v>18</v>
      </c>
      <c r="G98">
        <f ca="1">COUNTIF($A$2:$A98,5)</f>
        <v>21</v>
      </c>
      <c r="H98">
        <f ca="1">COUNTIF($A$2:$A98,6)</f>
        <v>13</v>
      </c>
      <c r="I98">
        <f t="shared" ca="1" si="9"/>
        <v>10.309278350515463</v>
      </c>
      <c r="J98">
        <f t="shared" ca="1" si="10"/>
        <v>18.556701030927837</v>
      </c>
      <c r="K98">
        <f t="shared" ca="1" si="11"/>
        <v>17.525773195876287</v>
      </c>
      <c r="L98">
        <f t="shared" ca="1" si="12"/>
        <v>18.556701030927837</v>
      </c>
      <c r="M98">
        <f t="shared" ca="1" si="13"/>
        <v>21.649484536082475</v>
      </c>
      <c r="N98">
        <f t="shared" ca="1" si="14"/>
        <v>13.402061855670103</v>
      </c>
    </row>
    <row r="99" spans="1:14" x14ac:dyDescent="0.3">
      <c r="A99">
        <f t="shared" ca="1" si="8"/>
        <v>4</v>
      </c>
      <c r="C99">
        <f ca="1">COUNTIF(A$2:A99,1)</f>
        <v>10</v>
      </c>
      <c r="D99">
        <f ca="1">COUNTIF($A$2:$A99,2)</f>
        <v>18</v>
      </c>
      <c r="E99">
        <f ca="1">COUNTIF($A$2:$A99,3)</f>
        <v>17</v>
      </c>
      <c r="F99">
        <f ca="1">COUNTIF($A$2:$A99,4)</f>
        <v>19</v>
      </c>
      <c r="G99">
        <f ca="1">COUNTIF($A$2:$A99,5)</f>
        <v>21</v>
      </c>
      <c r="H99">
        <f ca="1">COUNTIF($A$2:$A99,6)</f>
        <v>13</v>
      </c>
      <c r="I99">
        <f t="shared" ca="1" si="9"/>
        <v>10.204081632653061</v>
      </c>
      <c r="J99">
        <f t="shared" ca="1" si="10"/>
        <v>18.367346938775512</v>
      </c>
      <c r="K99">
        <f t="shared" ca="1" si="11"/>
        <v>17.346938775510203</v>
      </c>
      <c r="L99">
        <f t="shared" ca="1" si="12"/>
        <v>19.387755102040817</v>
      </c>
      <c r="M99">
        <f t="shared" ca="1" si="13"/>
        <v>21.428571428571427</v>
      </c>
      <c r="N99">
        <f t="shared" ca="1" si="14"/>
        <v>13.26530612244898</v>
      </c>
    </row>
    <row r="100" spans="1:14" x14ac:dyDescent="0.3">
      <c r="A100">
        <f t="shared" ca="1" si="8"/>
        <v>3</v>
      </c>
      <c r="C100">
        <f ca="1">COUNTIF(A$2:A100,1)</f>
        <v>10</v>
      </c>
      <c r="D100">
        <f ca="1">COUNTIF($A$2:$A100,2)</f>
        <v>18</v>
      </c>
      <c r="E100">
        <f ca="1">COUNTIF($A$2:$A100,3)</f>
        <v>18</v>
      </c>
      <c r="F100">
        <f ca="1">COUNTIF($A$2:$A100,4)</f>
        <v>19</v>
      </c>
      <c r="G100">
        <f ca="1">COUNTIF($A$2:$A100,5)</f>
        <v>21</v>
      </c>
      <c r="H100">
        <f ca="1">COUNTIF($A$2:$A100,6)</f>
        <v>13</v>
      </c>
      <c r="I100">
        <f t="shared" ca="1" si="9"/>
        <v>10.1010101010101</v>
      </c>
      <c r="J100">
        <f t="shared" ca="1" si="10"/>
        <v>18.181818181818183</v>
      </c>
      <c r="K100">
        <f t="shared" ca="1" si="11"/>
        <v>18.181818181818183</v>
      </c>
      <c r="L100">
        <f t="shared" ca="1" si="12"/>
        <v>19.19191919191919</v>
      </c>
      <c r="M100">
        <f t="shared" ca="1" si="13"/>
        <v>21.212121212121211</v>
      </c>
      <c r="N100">
        <f t="shared" ca="1" si="14"/>
        <v>13.131313131313133</v>
      </c>
    </row>
    <row r="101" spans="1:14" x14ac:dyDescent="0.3">
      <c r="A101">
        <f t="shared" ca="1" si="8"/>
        <v>6</v>
      </c>
      <c r="C101">
        <f ca="1">COUNTIF(A$2:A101,1)</f>
        <v>10</v>
      </c>
      <c r="D101">
        <f ca="1">COUNTIF($A$2:$A101,2)</f>
        <v>18</v>
      </c>
      <c r="E101">
        <f ca="1">COUNTIF($A$2:$A101,3)</f>
        <v>18</v>
      </c>
      <c r="F101">
        <f ca="1">COUNTIF($A$2:$A101,4)</f>
        <v>19</v>
      </c>
      <c r="G101">
        <f ca="1">COUNTIF($A$2:$A101,5)</f>
        <v>21</v>
      </c>
      <c r="H101">
        <f ca="1">COUNTIF($A$2:$A101,6)</f>
        <v>14</v>
      </c>
      <c r="I101">
        <f t="shared" ca="1" si="9"/>
        <v>10</v>
      </c>
      <c r="J101">
        <f t="shared" ca="1" si="10"/>
        <v>18</v>
      </c>
      <c r="K101">
        <f t="shared" ca="1" si="11"/>
        <v>18</v>
      </c>
      <c r="L101">
        <f t="shared" ca="1" si="12"/>
        <v>19</v>
      </c>
      <c r="M101">
        <f t="shared" ca="1" si="13"/>
        <v>21</v>
      </c>
      <c r="N101">
        <f t="shared" ca="1" si="14"/>
        <v>14.000000000000002</v>
      </c>
    </row>
    <row r="102" spans="1:14" x14ac:dyDescent="0.3">
      <c r="A102">
        <f t="shared" ca="1" si="8"/>
        <v>2</v>
      </c>
      <c r="C102">
        <f ca="1">COUNTIF(A$2:A102,1)</f>
        <v>10</v>
      </c>
      <c r="D102">
        <f ca="1">COUNTIF($A$2:$A102,2)</f>
        <v>19</v>
      </c>
      <c r="E102">
        <f ca="1">COUNTIF($A$2:$A102,3)</f>
        <v>18</v>
      </c>
      <c r="F102">
        <f ca="1">COUNTIF($A$2:$A102,4)</f>
        <v>19</v>
      </c>
      <c r="G102">
        <f ca="1">COUNTIF($A$2:$A102,5)</f>
        <v>21</v>
      </c>
      <c r="H102">
        <f ca="1">COUNTIF($A$2:$A102,6)</f>
        <v>14</v>
      </c>
      <c r="I102">
        <f t="shared" ca="1" si="9"/>
        <v>9.9009900990099009</v>
      </c>
      <c r="J102">
        <f t="shared" ca="1" si="10"/>
        <v>18.811881188118811</v>
      </c>
      <c r="K102">
        <f t="shared" ca="1" si="11"/>
        <v>17.82178217821782</v>
      </c>
      <c r="L102">
        <f t="shared" ca="1" si="12"/>
        <v>18.811881188118811</v>
      </c>
      <c r="M102">
        <f t="shared" ca="1" si="13"/>
        <v>20.792079207920793</v>
      </c>
      <c r="N102">
        <f t="shared" ca="1" si="14"/>
        <v>13.861386138613863</v>
      </c>
    </row>
    <row r="103" spans="1:14" x14ac:dyDescent="0.3">
      <c r="A103">
        <f t="shared" ca="1" si="8"/>
        <v>5</v>
      </c>
      <c r="C103">
        <f ca="1">COUNTIF(A$2:A103,1)</f>
        <v>10</v>
      </c>
      <c r="D103">
        <f ca="1">COUNTIF($A$2:$A103,2)</f>
        <v>19</v>
      </c>
      <c r="E103">
        <f ca="1">COUNTIF($A$2:$A103,3)</f>
        <v>18</v>
      </c>
      <c r="F103">
        <f ca="1">COUNTIF($A$2:$A103,4)</f>
        <v>19</v>
      </c>
      <c r="G103">
        <f ca="1">COUNTIF($A$2:$A103,5)</f>
        <v>22</v>
      </c>
      <c r="H103">
        <f ca="1">COUNTIF($A$2:$A103,6)</f>
        <v>14</v>
      </c>
      <c r="I103">
        <f t="shared" ca="1" si="9"/>
        <v>9.8039215686274517</v>
      </c>
      <c r="J103">
        <f t="shared" ca="1" si="10"/>
        <v>18.627450980392158</v>
      </c>
      <c r="K103">
        <f t="shared" ca="1" si="11"/>
        <v>17.647058823529413</v>
      </c>
      <c r="L103">
        <f t="shared" ca="1" si="12"/>
        <v>18.627450980392158</v>
      </c>
      <c r="M103">
        <f t="shared" ca="1" si="13"/>
        <v>21.568627450980394</v>
      </c>
      <c r="N103">
        <f t="shared" ca="1" si="14"/>
        <v>13.725490196078432</v>
      </c>
    </row>
    <row r="104" spans="1:14" x14ac:dyDescent="0.3">
      <c r="A104">
        <f t="shared" ca="1" si="8"/>
        <v>4</v>
      </c>
      <c r="C104">
        <f ca="1">COUNTIF(A$2:A104,1)</f>
        <v>10</v>
      </c>
      <c r="D104">
        <f ca="1">COUNTIF($A$2:$A104,2)</f>
        <v>19</v>
      </c>
      <c r="E104">
        <f ca="1">COUNTIF($A$2:$A104,3)</f>
        <v>18</v>
      </c>
      <c r="F104">
        <f ca="1">COUNTIF($A$2:$A104,4)</f>
        <v>20</v>
      </c>
      <c r="G104">
        <f ca="1">COUNTIF($A$2:$A104,5)</f>
        <v>22</v>
      </c>
      <c r="H104">
        <f ca="1">COUNTIF($A$2:$A104,6)</f>
        <v>14</v>
      </c>
      <c r="I104">
        <f t="shared" ca="1" si="9"/>
        <v>9.7087378640776691</v>
      </c>
      <c r="J104">
        <f t="shared" ca="1" si="10"/>
        <v>18.446601941747574</v>
      </c>
      <c r="K104">
        <f t="shared" ca="1" si="11"/>
        <v>17.475728155339805</v>
      </c>
      <c r="L104">
        <f t="shared" ca="1" si="12"/>
        <v>19.417475728155338</v>
      </c>
      <c r="M104">
        <f t="shared" ca="1" si="13"/>
        <v>21.359223300970871</v>
      </c>
      <c r="N104">
        <f t="shared" ca="1" si="14"/>
        <v>13.592233009708737</v>
      </c>
    </row>
    <row r="105" spans="1:14" x14ac:dyDescent="0.3">
      <c r="A105">
        <f t="shared" ca="1" si="8"/>
        <v>5</v>
      </c>
      <c r="C105">
        <f ca="1">COUNTIF(A$2:A105,1)</f>
        <v>10</v>
      </c>
      <c r="D105">
        <f ca="1">COUNTIF($A$2:$A105,2)</f>
        <v>19</v>
      </c>
      <c r="E105">
        <f ca="1">COUNTIF($A$2:$A105,3)</f>
        <v>18</v>
      </c>
      <c r="F105">
        <f ca="1">COUNTIF($A$2:$A105,4)</f>
        <v>20</v>
      </c>
      <c r="G105">
        <f ca="1">COUNTIF($A$2:$A105,5)</f>
        <v>23</v>
      </c>
      <c r="H105">
        <f ca="1">COUNTIF($A$2:$A105,6)</f>
        <v>14</v>
      </c>
      <c r="I105">
        <f t="shared" ca="1" si="9"/>
        <v>9.6153846153846168</v>
      </c>
      <c r="J105">
        <f t="shared" ca="1" si="10"/>
        <v>18.269230769230766</v>
      </c>
      <c r="K105">
        <f t="shared" ca="1" si="11"/>
        <v>17.307692307692307</v>
      </c>
      <c r="L105">
        <f t="shared" ca="1" si="12"/>
        <v>19.230769230769234</v>
      </c>
      <c r="M105">
        <f t="shared" ca="1" si="13"/>
        <v>22.115384615384613</v>
      </c>
      <c r="N105">
        <f t="shared" ca="1" si="14"/>
        <v>13.461538461538462</v>
      </c>
    </row>
    <row r="106" spans="1:14" x14ac:dyDescent="0.3">
      <c r="A106">
        <f t="shared" ca="1" si="8"/>
        <v>2</v>
      </c>
      <c r="C106">
        <f ca="1">COUNTIF(A$2:A106,1)</f>
        <v>10</v>
      </c>
      <c r="D106">
        <f ca="1">COUNTIF($A$2:$A106,2)</f>
        <v>20</v>
      </c>
      <c r="E106">
        <f ca="1">COUNTIF($A$2:$A106,3)</f>
        <v>18</v>
      </c>
      <c r="F106">
        <f ca="1">COUNTIF($A$2:$A106,4)</f>
        <v>20</v>
      </c>
      <c r="G106">
        <f ca="1">COUNTIF($A$2:$A106,5)</f>
        <v>23</v>
      </c>
      <c r="H106">
        <f ca="1">COUNTIF($A$2:$A106,6)</f>
        <v>14</v>
      </c>
      <c r="I106">
        <f t="shared" ca="1" si="9"/>
        <v>9.5238095238095237</v>
      </c>
      <c r="J106">
        <f t="shared" ca="1" si="10"/>
        <v>19.047619047619047</v>
      </c>
      <c r="K106">
        <f t="shared" ca="1" si="11"/>
        <v>17.142857142857142</v>
      </c>
      <c r="L106">
        <f t="shared" ca="1" si="12"/>
        <v>19.047619047619047</v>
      </c>
      <c r="M106">
        <f t="shared" ca="1" si="13"/>
        <v>21.904761904761905</v>
      </c>
      <c r="N106">
        <f t="shared" ca="1" si="14"/>
        <v>13.333333333333334</v>
      </c>
    </row>
    <row r="107" spans="1:14" x14ac:dyDescent="0.3">
      <c r="A107">
        <f t="shared" ca="1" si="8"/>
        <v>3</v>
      </c>
      <c r="C107">
        <f ca="1">COUNTIF(A$2:A107,1)</f>
        <v>10</v>
      </c>
      <c r="D107">
        <f ca="1">COUNTIF($A$2:$A107,2)</f>
        <v>20</v>
      </c>
      <c r="E107">
        <f ca="1">COUNTIF($A$2:$A107,3)</f>
        <v>19</v>
      </c>
      <c r="F107">
        <f ca="1">COUNTIF($A$2:$A107,4)</f>
        <v>20</v>
      </c>
      <c r="G107">
        <f ca="1">COUNTIF($A$2:$A107,5)</f>
        <v>23</v>
      </c>
      <c r="H107">
        <f ca="1">COUNTIF($A$2:$A107,6)</f>
        <v>14</v>
      </c>
      <c r="I107">
        <f t="shared" ca="1" si="9"/>
        <v>9.433962264150944</v>
      </c>
      <c r="J107">
        <f t="shared" ca="1" si="10"/>
        <v>18.867924528301888</v>
      </c>
      <c r="K107">
        <f t="shared" ca="1" si="11"/>
        <v>17.924528301886792</v>
      </c>
      <c r="L107">
        <f t="shared" ca="1" si="12"/>
        <v>18.867924528301888</v>
      </c>
      <c r="M107">
        <f t="shared" ca="1" si="13"/>
        <v>21.69811320754717</v>
      </c>
      <c r="N107">
        <f t="shared" ca="1" si="14"/>
        <v>13.20754716981132</v>
      </c>
    </row>
    <row r="108" spans="1:14" x14ac:dyDescent="0.3">
      <c r="A108">
        <f t="shared" ca="1" si="8"/>
        <v>5</v>
      </c>
      <c r="C108">
        <f ca="1">COUNTIF(A$2:A108,1)</f>
        <v>10</v>
      </c>
      <c r="D108">
        <f ca="1">COUNTIF($A$2:$A108,2)</f>
        <v>20</v>
      </c>
      <c r="E108">
        <f ca="1">COUNTIF($A$2:$A108,3)</f>
        <v>19</v>
      </c>
      <c r="F108">
        <f ca="1">COUNTIF($A$2:$A108,4)</f>
        <v>20</v>
      </c>
      <c r="G108">
        <f ca="1">COUNTIF($A$2:$A108,5)</f>
        <v>24</v>
      </c>
      <c r="H108">
        <f ca="1">COUNTIF($A$2:$A108,6)</f>
        <v>14</v>
      </c>
      <c r="I108">
        <f t="shared" ca="1" si="9"/>
        <v>9.3457943925233646</v>
      </c>
      <c r="J108">
        <f t="shared" ca="1" si="10"/>
        <v>18.691588785046729</v>
      </c>
      <c r="K108">
        <f t="shared" ca="1" si="11"/>
        <v>17.75700934579439</v>
      </c>
      <c r="L108">
        <f t="shared" ca="1" si="12"/>
        <v>18.691588785046729</v>
      </c>
      <c r="M108">
        <f t="shared" ca="1" si="13"/>
        <v>22.429906542056074</v>
      </c>
      <c r="N108">
        <f t="shared" ca="1" si="14"/>
        <v>13.084112149532709</v>
      </c>
    </row>
    <row r="109" spans="1:14" x14ac:dyDescent="0.3">
      <c r="A109">
        <f t="shared" ca="1" si="8"/>
        <v>3</v>
      </c>
      <c r="C109">
        <f ca="1">COUNTIF(A$2:A109,1)</f>
        <v>10</v>
      </c>
      <c r="D109">
        <f ca="1">COUNTIF($A$2:$A109,2)</f>
        <v>20</v>
      </c>
      <c r="E109">
        <f ca="1">COUNTIF($A$2:$A109,3)</f>
        <v>20</v>
      </c>
      <c r="F109">
        <f ca="1">COUNTIF($A$2:$A109,4)</f>
        <v>20</v>
      </c>
      <c r="G109">
        <f ca="1">COUNTIF($A$2:$A109,5)</f>
        <v>24</v>
      </c>
      <c r="H109">
        <f ca="1">COUNTIF($A$2:$A109,6)</f>
        <v>14</v>
      </c>
      <c r="I109">
        <f t="shared" ca="1" si="9"/>
        <v>9.2592592592592595</v>
      </c>
      <c r="J109">
        <f t="shared" ca="1" si="10"/>
        <v>18.518518518518519</v>
      </c>
      <c r="K109">
        <f t="shared" ca="1" si="11"/>
        <v>18.518518518518519</v>
      </c>
      <c r="L109">
        <f t="shared" ca="1" si="12"/>
        <v>18.518518518518519</v>
      </c>
      <c r="M109">
        <f t="shared" ca="1" si="13"/>
        <v>22.222222222222221</v>
      </c>
      <c r="N109">
        <f t="shared" ca="1" si="14"/>
        <v>12.962962962962962</v>
      </c>
    </row>
    <row r="110" spans="1:14" x14ac:dyDescent="0.3">
      <c r="A110">
        <f t="shared" ca="1" si="8"/>
        <v>5</v>
      </c>
      <c r="C110">
        <f ca="1">COUNTIF(A$2:A110,1)</f>
        <v>10</v>
      </c>
      <c r="D110">
        <f ca="1">COUNTIF($A$2:$A110,2)</f>
        <v>20</v>
      </c>
      <c r="E110">
        <f ca="1">COUNTIF($A$2:$A110,3)</f>
        <v>20</v>
      </c>
      <c r="F110">
        <f ca="1">COUNTIF($A$2:$A110,4)</f>
        <v>20</v>
      </c>
      <c r="G110">
        <f ca="1">COUNTIF($A$2:$A110,5)</f>
        <v>25</v>
      </c>
      <c r="H110">
        <f ca="1">COUNTIF($A$2:$A110,6)</f>
        <v>14</v>
      </c>
      <c r="I110">
        <f t="shared" ca="1" si="9"/>
        <v>9.1743119266055047</v>
      </c>
      <c r="J110">
        <f t="shared" ca="1" si="10"/>
        <v>18.348623853211009</v>
      </c>
      <c r="K110">
        <f t="shared" ca="1" si="11"/>
        <v>18.348623853211009</v>
      </c>
      <c r="L110">
        <f t="shared" ca="1" si="12"/>
        <v>18.348623853211009</v>
      </c>
      <c r="M110">
        <f t="shared" ca="1" si="13"/>
        <v>22.935779816513762</v>
      </c>
      <c r="N110">
        <f t="shared" ca="1" si="14"/>
        <v>12.844036697247708</v>
      </c>
    </row>
    <row r="111" spans="1:14" x14ac:dyDescent="0.3">
      <c r="A111">
        <f t="shared" ca="1" si="8"/>
        <v>2</v>
      </c>
      <c r="C111">
        <f ca="1">COUNTIF(A$2:A111,1)</f>
        <v>10</v>
      </c>
      <c r="D111">
        <f ca="1">COUNTIF($A$2:$A111,2)</f>
        <v>21</v>
      </c>
      <c r="E111">
        <f ca="1">COUNTIF($A$2:$A111,3)</f>
        <v>20</v>
      </c>
      <c r="F111">
        <f ca="1">COUNTIF($A$2:$A111,4)</f>
        <v>20</v>
      </c>
      <c r="G111">
        <f ca="1">COUNTIF($A$2:$A111,5)</f>
        <v>25</v>
      </c>
      <c r="H111">
        <f ca="1">COUNTIF($A$2:$A111,6)</f>
        <v>14</v>
      </c>
      <c r="I111">
        <f t="shared" ca="1" si="9"/>
        <v>9.0909090909090917</v>
      </c>
      <c r="J111">
        <f t="shared" ca="1" si="10"/>
        <v>19.090909090909093</v>
      </c>
      <c r="K111">
        <f t="shared" ca="1" si="11"/>
        <v>18.181818181818183</v>
      </c>
      <c r="L111">
        <f t="shared" ca="1" si="12"/>
        <v>18.181818181818183</v>
      </c>
      <c r="M111">
        <f t="shared" ca="1" si="13"/>
        <v>22.727272727272727</v>
      </c>
      <c r="N111">
        <f t="shared" ca="1" si="14"/>
        <v>12.727272727272727</v>
      </c>
    </row>
    <row r="112" spans="1:14" x14ac:dyDescent="0.3">
      <c r="A112">
        <f t="shared" ca="1" si="8"/>
        <v>2</v>
      </c>
      <c r="C112">
        <f ca="1">COUNTIF(A$2:A112,1)</f>
        <v>10</v>
      </c>
      <c r="D112">
        <f ca="1">COUNTIF($A$2:$A112,2)</f>
        <v>22</v>
      </c>
      <c r="E112">
        <f ca="1">COUNTIF($A$2:$A112,3)</f>
        <v>20</v>
      </c>
      <c r="F112">
        <f ca="1">COUNTIF($A$2:$A112,4)</f>
        <v>20</v>
      </c>
      <c r="G112">
        <f ca="1">COUNTIF($A$2:$A112,5)</f>
        <v>25</v>
      </c>
      <c r="H112">
        <f ca="1">COUNTIF($A$2:$A112,6)</f>
        <v>14</v>
      </c>
      <c r="I112">
        <f t="shared" ca="1" si="9"/>
        <v>9.0090090090090094</v>
      </c>
      <c r="J112">
        <f t="shared" ca="1" si="10"/>
        <v>19.81981981981982</v>
      </c>
      <c r="K112">
        <f t="shared" ca="1" si="11"/>
        <v>18.018018018018019</v>
      </c>
      <c r="L112">
        <f t="shared" ca="1" si="12"/>
        <v>18.018018018018019</v>
      </c>
      <c r="M112">
        <f t="shared" ca="1" si="13"/>
        <v>22.522522522522522</v>
      </c>
      <c r="N112">
        <f t="shared" ca="1" si="14"/>
        <v>12.612612612612612</v>
      </c>
    </row>
    <row r="113" spans="1:14" x14ac:dyDescent="0.3">
      <c r="A113">
        <f t="shared" ca="1" si="8"/>
        <v>1</v>
      </c>
      <c r="C113">
        <f ca="1">COUNTIF(A$2:A113,1)</f>
        <v>11</v>
      </c>
      <c r="D113">
        <f ca="1">COUNTIF($A$2:$A113,2)</f>
        <v>22</v>
      </c>
      <c r="E113">
        <f ca="1">COUNTIF($A$2:$A113,3)</f>
        <v>20</v>
      </c>
      <c r="F113">
        <f ca="1">COUNTIF($A$2:$A113,4)</f>
        <v>20</v>
      </c>
      <c r="G113">
        <f ca="1">COUNTIF($A$2:$A113,5)</f>
        <v>25</v>
      </c>
      <c r="H113">
        <f ca="1">COUNTIF($A$2:$A113,6)</f>
        <v>14</v>
      </c>
      <c r="I113">
        <f t="shared" ca="1" si="9"/>
        <v>9.8214285714285712</v>
      </c>
      <c r="J113">
        <f t="shared" ca="1" si="10"/>
        <v>19.642857142857142</v>
      </c>
      <c r="K113">
        <f t="shared" ca="1" si="11"/>
        <v>17.857142857142858</v>
      </c>
      <c r="L113">
        <f t="shared" ca="1" si="12"/>
        <v>17.857142857142858</v>
      </c>
      <c r="M113">
        <f t="shared" ca="1" si="13"/>
        <v>22.321428571428573</v>
      </c>
      <c r="N113">
        <f t="shared" ca="1" si="14"/>
        <v>12.5</v>
      </c>
    </row>
    <row r="114" spans="1:14" x14ac:dyDescent="0.3">
      <c r="A114">
        <f t="shared" ca="1" si="8"/>
        <v>1</v>
      </c>
      <c r="C114">
        <f ca="1">COUNTIF(A$2:A114,1)</f>
        <v>12</v>
      </c>
      <c r="D114">
        <f ca="1">COUNTIF($A$2:$A114,2)</f>
        <v>22</v>
      </c>
      <c r="E114">
        <f ca="1">COUNTIF($A$2:$A114,3)</f>
        <v>20</v>
      </c>
      <c r="F114">
        <f ca="1">COUNTIF($A$2:$A114,4)</f>
        <v>20</v>
      </c>
      <c r="G114">
        <f ca="1">COUNTIF($A$2:$A114,5)</f>
        <v>25</v>
      </c>
      <c r="H114">
        <f ca="1">COUNTIF($A$2:$A114,6)</f>
        <v>14</v>
      </c>
      <c r="I114">
        <f t="shared" ca="1" si="9"/>
        <v>10.619469026548673</v>
      </c>
      <c r="J114">
        <f t="shared" ca="1" si="10"/>
        <v>19.469026548672566</v>
      </c>
      <c r="K114">
        <f t="shared" ca="1" si="11"/>
        <v>17.699115044247787</v>
      </c>
      <c r="L114">
        <f t="shared" ca="1" si="12"/>
        <v>17.699115044247787</v>
      </c>
      <c r="M114">
        <f t="shared" ca="1" si="13"/>
        <v>22.123893805309734</v>
      </c>
      <c r="N114">
        <f t="shared" ca="1" si="14"/>
        <v>12.389380530973451</v>
      </c>
    </row>
    <row r="115" spans="1:14" x14ac:dyDescent="0.3">
      <c r="A115">
        <f t="shared" ca="1" si="8"/>
        <v>6</v>
      </c>
      <c r="C115">
        <f ca="1">COUNTIF(A$2:A115,1)</f>
        <v>12</v>
      </c>
      <c r="D115">
        <f ca="1">COUNTIF($A$2:$A115,2)</f>
        <v>22</v>
      </c>
      <c r="E115">
        <f ca="1">COUNTIF($A$2:$A115,3)</f>
        <v>20</v>
      </c>
      <c r="F115">
        <f ca="1">COUNTIF($A$2:$A115,4)</f>
        <v>20</v>
      </c>
      <c r="G115">
        <f ca="1">COUNTIF($A$2:$A115,5)</f>
        <v>25</v>
      </c>
      <c r="H115">
        <f ca="1">COUNTIF($A$2:$A115,6)</f>
        <v>15</v>
      </c>
      <c r="I115">
        <f t="shared" ca="1" si="9"/>
        <v>10.526315789473683</v>
      </c>
      <c r="J115">
        <f t="shared" ca="1" si="10"/>
        <v>19.298245614035086</v>
      </c>
      <c r="K115">
        <f t="shared" ca="1" si="11"/>
        <v>17.543859649122805</v>
      </c>
      <c r="L115">
        <f t="shared" ca="1" si="12"/>
        <v>17.543859649122805</v>
      </c>
      <c r="M115">
        <f t="shared" ca="1" si="13"/>
        <v>21.929824561403507</v>
      </c>
      <c r="N115">
        <f t="shared" ca="1" si="14"/>
        <v>13.157894736842104</v>
      </c>
    </row>
    <row r="116" spans="1:14" x14ac:dyDescent="0.3">
      <c r="A116">
        <f t="shared" ca="1" si="8"/>
        <v>2</v>
      </c>
      <c r="C116">
        <f ca="1">COUNTIF(A$2:A116,1)</f>
        <v>12</v>
      </c>
      <c r="D116">
        <f ca="1">COUNTIF($A$2:$A116,2)</f>
        <v>23</v>
      </c>
      <c r="E116">
        <f ca="1">COUNTIF($A$2:$A116,3)</f>
        <v>20</v>
      </c>
      <c r="F116">
        <f ca="1">COUNTIF($A$2:$A116,4)</f>
        <v>20</v>
      </c>
      <c r="G116">
        <f ca="1">COUNTIF($A$2:$A116,5)</f>
        <v>25</v>
      </c>
      <c r="H116">
        <f ca="1">COUNTIF($A$2:$A116,6)</f>
        <v>15</v>
      </c>
      <c r="I116">
        <f t="shared" ca="1" si="9"/>
        <v>10.434782608695652</v>
      </c>
      <c r="J116">
        <f t="shared" ca="1" si="10"/>
        <v>20</v>
      </c>
      <c r="K116">
        <f t="shared" ca="1" si="11"/>
        <v>17.391304347826086</v>
      </c>
      <c r="L116">
        <f t="shared" ca="1" si="12"/>
        <v>17.391304347826086</v>
      </c>
      <c r="M116">
        <f t="shared" ca="1" si="13"/>
        <v>21.739130434782609</v>
      </c>
      <c r="N116">
        <f t="shared" ca="1" si="14"/>
        <v>13.043478260869565</v>
      </c>
    </row>
    <row r="117" spans="1:14" x14ac:dyDescent="0.3">
      <c r="A117">
        <f t="shared" ca="1" si="8"/>
        <v>1</v>
      </c>
      <c r="C117">
        <f ca="1">COUNTIF(A$2:A117,1)</f>
        <v>13</v>
      </c>
      <c r="D117">
        <f ca="1">COUNTIF($A$2:$A117,2)</f>
        <v>23</v>
      </c>
      <c r="E117">
        <f ca="1">COUNTIF($A$2:$A117,3)</f>
        <v>20</v>
      </c>
      <c r="F117">
        <f ca="1">COUNTIF($A$2:$A117,4)</f>
        <v>20</v>
      </c>
      <c r="G117">
        <f ca="1">COUNTIF($A$2:$A117,5)</f>
        <v>25</v>
      </c>
      <c r="H117">
        <f ca="1">COUNTIF($A$2:$A117,6)</f>
        <v>15</v>
      </c>
      <c r="I117">
        <f t="shared" ca="1" si="9"/>
        <v>11.206896551724139</v>
      </c>
      <c r="J117">
        <f t="shared" ca="1" si="10"/>
        <v>19.827586206896552</v>
      </c>
      <c r="K117">
        <f t="shared" ca="1" si="11"/>
        <v>17.241379310344829</v>
      </c>
      <c r="L117">
        <f t="shared" ca="1" si="12"/>
        <v>17.241379310344829</v>
      </c>
      <c r="M117">
        <f t="shared" ca="1" si="13"/>
        <v>21.551724137931032</v>
      </c>
      <c r="N117">
        <f t="shared" ca="1" si="14"/>
        <v>12.931034482758621</v>
      </c>
    </row>
    <row r="118" spans="1:14" x14ac:dyDescent="0.3">
      <c r="A118">
        <f t="shared" ca="1" si="8"/>
        <v>5</v>
      </c>
      <c r="C118">
        <f ca="1">COUNTIF(A$2:A118,1)</f>
        <v>13</v>
      </c>
      <c r="D118">
        <f ca="1">COUNTIF($A$2:$A118,2)</f>
        <v>23</v>
      </c>
      <c r="E118">
        <f ca="1">COUNTIF($A$2:$A118,3)</f>
        <v>20</v>
      </c>
      <c r="F118">
        <f ca="1">COUNTIF($A$2:$A118,4)</f>
        <v>20</v>
      </c>
      <c r="G118">
        <f ca="1">COUNTIF($A$2:$A118,5)</f>
        <v>26</v>
      </c>
      <c r="H118">
        <f ca="1">COUNTIF($A$2:$A118,6)</f>
        <v>15</v>
      </c>
      <c r="I118">
        <f t="shared" ca="1" si="9"/>
        <v>11.111111111111111</v>
      </c>
      <c r="J118">
        <f t="shared" ca="1" si="10"/>
        <v>19.658119658119659</v>
      </c>
      <c r="K118">
        <f t="shared" ca="1" si="11"/>
        <v>17.094017094017094</v>
      </c>
      <c r="L118">
        <f t="shared" ca="1" si="12"/>
        <v>17.094017094017094</v>
      </c>
      <c r="M118">
        <f t="shared" ca="1" si="13"/>
        <v>22.222222222222221</v>
      </c>
      <c r="N118">
        <f t="shared" ca="1" si="14"/>
        <v>12.820512820512819</v>
      </c>
    </row>
    <row r="119" spans="1:14" x14ac:dyDescent="0.3">
      <c r="A119">
        <f t="shared" ca="1" si="8"/>
        <v>1</v>
      </c>
      <c r="C119">
        <f ca="1">COUNTIF(A$2:A119,1)</f>
        <v>14</v>
      </c>
      <c r="D119">
        <f ca="1">COUNTIF($A$2:$A119,2)</f>
        <v>23</v>
      </c>
      <c r="E119">
        <f ca="1">COUNTIF($A$2:$A119,3)</f>
        <v>20</v>
      </c>
      <c r="F119">
        <f ca="1">COUNTIF($A$2:$A119,4)</f>
        <v>20</v>
      </c>
      <c r="G119">
        <f ca="1">COUNTIF($A$2:$A119,5)</f>
        <v>26</v>
      </c>
      <c r="H119">
        <f ca="1">COUNTIF($A$2:$A119,6)</f>
        <v>15</v>
      </c>
      <c r="I119">
        <f t="shared" ca="1" si="9"/>
        <v>11.864406779661017</v>
      </c>
      <c r="J119">
        <f t="shared" ca="1" si="10"/>
        <v>19.491525423728813</v>
      </c>
      <c r="K119">
        <f t="shared" ca="1" si="11"/>
        <v>16.949152542372879</v>
      </c>
      <c r="L119">
        <f t="shared" ca="1" si="12"/>
        <v>16.949152542372879</v>
      </c>
      <c r="M119">
        <f t="shared" ca="1" si="13"/>
        <v>22.033898305084744</v>
      </c>
      <c r="N119">
        <f t="shared" ca="1" si="14"/>
        <v>12.711864406779661</v>
      </c>
    </row>
    <row r="120" spans="1:14" x14ac:dyDescent="0.3">
      <c r="A120">
        <f t="shared" ca="1" si="8"/>
        <v>1</v>
      </c>
      <c r="C120">
        <f ca="1">COUNTIF(A$2:A120,1)</f>
        <v>15</v>
      </c>
      <c r="D120">
        <f ca="1">COUNTIF($A$2:$A120,2)</f>
        <v>23</v>
      </c>
      <c r="E120">
        <f ca="1">COUNTIF($A$2:$A120,3)</f>
        <v>20</v>
      </c>
      <c r="F120">
        <f ca="1">COUNTIF($A$2:$A120,4)</f>
        <v>20</v>
      </c>
      <c r="G120">
        <f ca="1">COUNTIF($A$2:$A120,5)</f>
        <v>26</v>
      </c>
      <c r="H120">
        <f ca="1">COUNTIF($A$2:$A120,6)</f>
        <v>15</v>
      </c>
      <c r="I120">
        <f t="shared" ca="1" si="9"/>
        <v>12.605042016806722</v>
      </c>
      <c r="J120">
        <f t="shared" ca="1" si="10"/>
        <v>19.327731092436977</v>
      </c>
      <c r="K120">
        <f t="shared" ca="1" si="11"/>
        <v>16.806722689075631</v>
      </c>
      <c r="L120">
        <f t="shared" ca="1" si="12"/>
        <v>16.806722689075631</v>
      </c>
      <c r="M120">
        <f t="shared" ca="1" si="13"/>
        <v>21.84873949579832</v>
      </c>
      <c r="N120">
        <f t="shared" ca="1" si="14"/>
        <v>12.605042016806722</v>
      </c>
    </row>
    <row r="121" spans="1:14" x14ac:dyDescent="0.3">
      <c r="A121">
        <f t="shared" ca="1" si="8"/>
        <v>3</v>
      </c>
      <c r="C121">
        <f ca="1">COUNTIF(A$2:A121,1)</f>
        <v>15</v>
      </c>
      <c r="D121">
        <f ca="1">COUNTIF($A$2:$A121,2)</f>
        <v>23</v>
      </c>
      <c r="E121">
        <f ca="1">COUNTIF($A$2:$A121,3)</f>
        <v>21</v>
      </c>
      <c r="F121">
        <f ca="1">COUNTIF($A$2:$A121,4)</f>
        <v>20</v>
      </c>
      <c r="G121">
        <f ca="1">COUNTIF($A$2:$A121,5)</f>
        <v>26</v>
      </c>
      <c r="H121">
        <f ca="1">COUNTIF($A$2:$A121,6)</f>
        <v>15</v>
      </c>
      <c r="I121">
        <f t="shared" ca="1" si="9"/>
        <v>12.5</v>
      </c>
      <c r="J121">
        <f t="shared" ca="1" si="10"/>
        <v>19.166666666666668</v>
      </c>
      <c r="K121">
        <f t="shared" ca="1" si="11"/>
        <v>17.5</v>
      </c>
      <c r="L121">
        <f t="shared" ca="1" si="12"/>
        <v>16.666666666666664</v>
      </c>
      <c r="M121">
        <f t="shared" ca="1" si="13"/>
        <v>21.666666666666668</v>
      </c>
      <c r="N121">
        <f t="shared" ca="1" si="14"/>
        <v>12.5</v>
      </c>
    </row>
    <row r="122" spans="1:14" x14ac:dyDescent="0.3">
      <c r="A122">
        <f t="shared" ca="1" si="8"/>
        <v>3</v>
      </c>
      <c r="C122">
        <f ca="1">COUNTIF(A$2:A122,1)</f>
        <v>15</v>
      </c>
      <c r="D122">
        <f ca="1">COUNTIF($A$2:$A122,2)</f>
        <v>23</v>
      </c>
      <c r="E122">
        <f ca="1">COUNTIF($A$2:$A122,3)</f>
        <v>22</v>
      </c>
      <c r="F122">
        <f ca="1">COUNTIF($A$2:$A122,4)</f>
        <v>20</v>
      </c>
      <c r="G122">
        <f ca="1">COUNTIF($A$2:$A122,5)</f>
        <v>26</v>
      </c>
      <c r="H122">
        <f ca="1">COUNTIF($A$2:$A122,6)</f>
        <v>15</v>
      </c>
      <c r="I122">
        <f t="shared" ca="1" si="9"/>
        <v>12.396694214876034</v>
      </c>
      <c r="J122">
        <f t="shared" ca="1" si="10"/>
        <v>19.008264462809919</v>
      </c>
      <c r="K122">
        <f t="shared" ca="1" si="11"/>
        <v>18.181818181818183</v>
      </c>
      <c r="L122">
        <f t="shared" ca="1" si="12"/>
        <v>16.528925619834713</v>
      </c>
      <c r="M122">
        <f t="shared" ca="1" si="13"/>
        <v>21.487603305785125</v>
      </c>
      <c r="N122">
        <f t="shared" ca="1" si="14"/>
        <v>12.396694214876034</v>
      </c>
    </row>
    <row r="123" spans="1:14" x14ac:dyDescent="0.3">
      <c r="A123">
        <f t="shared" ca="1" si="8"/>
        <v>2</v>
      </c>
      <c r="C123">
        <f ca="1">COUNTIF(A$2:A123,1)</f>
        <v>15</v>
      </c>
      <c r="D123">
        <f ca="1">COUNTIF($A$2:$A123,2)</f>
        <v>24</v>
      </c>
      <c r="E123">
        <f ca="1">COUNTIF($A$2:$A123,3)</f>
        <v>22</v>
      </c>
      <c r="F123">
        <f ca="1">COUNTIF($A$2:$A123,4)</f>
        <v>20</v>
      </c>
      <c r="G123">
        <f ca="1">COUNTIF($A$2:$A123,5)</f>
        <v>26</v>
      </c>
      <c r="H123">
        <f ca="1">COUNTIF($A$2:$A123,6)</f>
        <v>15</v>
      </c>
      <c r="I123">
        <f t="shared" ca="1" si="9"/>
        <v>12.295081967213115</v>
      </c>
      <c r="J123">
        <f t="shared" ca="1" si="10"/>
        <v>19.672131147540984</v>
      </c>
      <c r="K123">
        <f t="shared" ca="1" si="11"/>
        <v>18.032786885245901</v>
      </c>
      <c r="L123">
        <f t="shared" ca="1" si="12"/>
        <v>16.393442622950818</v>
      </c>
      <c r="M123">
        <f t="shared" ca="1" si="13"/>
        <v>21.311475409836063</v>
      </c>
      <c r="N123">
        <f t="shared" ca="1" si="14"/>
        <v>12.295081967213115</v>
      </c>
    </row>
    <row r="124" spans="1:14" x14ac:dyDescent="0.3">
      <c r="A124">
        <f t="shared" ca="1" si="8"/>
        <v>2</v>
      </c>
      <c r="C124">
        <f ca="1">COUNTIF(A$2:A124,1)</f>
        <v>15</v>
      </c>
      <c r="D124">
        <f ca="1">COUNTIF($A$2:$A124,2)</f>
        <v>25</v>
      </c>
      <c r="E124">
        <f ca="1">COUNTIF($A$2:$A124,3)</f>
        <v>22</v>
      </c>
      <c r="F124">
        <f ca="1">COUNTIF($A$2:$A124,4)</f>
        <v>20</v>
      </c>
      <c r="G124">
        <f ca="1">COUNTIF($A$2:$A124,5)</f>
        <v>26</v>
      </c>
      <c r="H124">
        <f ca="1">COUNTIF($A$2:$A124,6)</f>
        <v>15</v>
      </c>
      <c r="I124">
        <f t="shared" ca="1" si="9"/>
        <v>12.195121951219512</v>
      </c>
      <c r="J124">
        <f t="shared" ca="1" si="10"/>
        <v>20.325203252032519</v>
      </c>
      <c r="K124">
        <f t="shared" ca="1" si="11"/>
        <v>17.886178861788618</v>
      </c>
      <c r="L124">
        <f t="shared" ca="1" si="12"/>
        <v>16.260162601626014</v>
      </c>
      <c r="M124">
        <f t="shared" ca="1" si="13"/>
        <v>21.138211382113823</v>
      </c>
      <c r="N124">
        <f t="shared" ca="1" si="14"/>
        <v>12.195121951219512</v>
      </c>
    </row>
    <row r="125" spans="1:14" x14ac:dyDescent="0.3">
      <c r="A125">
        <f t="shared" ca="1" si="8"/>
        <v>1</v>
      </c>
      <c r="C125">
        <f ca="1">COUNTIF(A$2:A125,1)</f>
        <v>16</v>
      </c>
      <c r="D125">
        <f ca="1">COUNTIF($A$2:$A125,2)</f>
        <v>25</v>
      </c>
      <c r="E125">
        <f ca="1">COUNTIF($A$2:$A125,3)</f>
        <v>22</v>
      </c>
      <c r="F125">
        <f ca="1">COUNTIF($A$2:$A125,4)</f>
        <v>20</v>
      </c>
      <c r="G125">
        <f ca="1">COUNTIF($A$2:$A125,5)</f>
        <v>26</v>
      </c>
      <c r="H125">
        <f ca="1">COUNTIF($A$2:$A125,6)</f>
        <v>15</v>
      </c>
      <c r="I125">
        <f t="shared" ca="1" si="9"/>
        <v>12.903225806451612</v>
      </c>
      <c r="J125">
        <f t="shared" ca="1" si="10"/>
        <v>20.161290322580644</v>
      </c>
      <c r="K125">
        <f t="shared" ca="1" si="11"/>
        <v>17.741935483870968</v>
      </c>
      <c r="L125">
        <f t="shared" ca="1" si="12"/>
        <v>16.129032258064516</v>
      </c>
      <c r="M125">
        <f t="shared" ca="1" si="13"/>
        <v>20.967741935483872</v>
      </c>
      <c r="N125">
        <f t="shared" ca="1" si="14"/>
        <v>12.096774193548388</v>
      </c>
    </row>
    <row r="126" spans="1:14" x14ac:dyDescent="0.3">
      <c r="A126">
        <f t="shared" ca="1" si="8"/>
        <v>4</v>
      </c>
      <c r="C126">
        <f ca="1">COUNTIF(A$2:A126,1)</f>
        <v>16</v>
      </c>
      <c r="D126">
        <f ca="1">COUNTIF($A$2:$A126,2)</f>
        <v>25</v>
      </c>
      <c r="E126">
        <f ca="1">COUNTIF($A$2:$A126,3)</f>
        <v>22</v>
      </c>
      <c r="F126">
        <f ca="1">COUNTIF($A$2:$A126,4)</f>
        <v>21</v>
      </c>
      <c r="G126">
        <f ca="1">COUNTIF($A$2:$A126,5)</f>
        <v>26</v>
      </c>
      <c r="H126">
        <f ca="1">COUNTIF($A$2:$A126,6)</f>
        <v>15</v>
      </c>
      <c r="I126">
        <f t="shared" ca="1" si="9"/>
        <v>12.8</v>
      </c>
      <c r="J126">
        <f t="shared" ca="1" si="10"/>
        <v>20</v>
      </c>
      <c r="K126">
        <f t="shared" ca="1" si="11"/>
        <v>17.599999999999998</v>
      </c>
      <c r="L126">
        <f t="shared" ca="1" si="12"/>
        <v>16.8</v>
      </c>
      <c r="M126">
        <f t="shared" ca="1" si="13"/>
        <v>20.8</v>
      </c>
      <c r="N126">
        <f t="shared" ca="1" si="14"/>
        <v>12</v>
      </c>
    </row>
    <row r="127" spans="1:14" x14ac:dyDescent="0.3">
      <c r="A127">
        <f t="shared" ca="1" si="8"/>
        <v>6</v>
      </c>
      <c r="C127">
        <f ca="1">COUNTIF(A$2:A127,1)</f>
        <v>16</v>
      </c>
      <c r="D127">
        <f ca="1">COUNTIF($A$2:$A127,2)</f>
        <v>25</v>
      </c>
      <c r="E127">
        <f ca="1">COUNTIF($A$2:$A127,3)</f>
        <v>22</v>
      </c>
      <c r="F127">
        <f ca="1">COUNTIF($A$2:$A127,4)</f>
        <v>21</v>
      </c>
      <c r="G127">
        <f ca="1">COUNTIF($A$2:$A127,5)</f>
        <v>26</v>
      </c>
      <c r="H127">
        <f ca="1">COUNTIF($A$2:$A127,6)</f>
        <v>16</v>
      </c>
      <c r="I127">
        <f t="shared" ca="1" si="9"/>
        <v>12.698412698412698</v>
      </c>
      <c r="J127">
        <f t="shared" ca="1" si="10"/>
        <v>19.841269841269842</v>
      </c>
      <c r="K127">
        <f t="shared" ca="1" si="11"/>
        <v>17.460317460317459</v>
      </c>
      <c r="L127">
        <f t="shared" ca="1" si="12"/>
        <v>16.666666666666664</v>
      </c>
      <c r="M127">
        <f t="shared" ca="1" si="13"/>
        <v>20.634920634920633</v>
      </c>
      <c r="N127">
        <f t="shared" ca="1" si="14"/>
        <v>12.698412698412698</v>
      </c>
    </row>
    <row r="128" spans="1:14" x14ac:dyDescent="0.3">
      <c r="A128">
        <f t="shared" ca="1" si="8"/>
        <v>3</v>
      </c>
      <c r="C128">
        <f ca="1">COUNTIF(A$2:A128,1)</f>
        <v>16</v>
      </c>
      <c r="D128">
        <f ca="1">COUNTIF($A$2:$A128,2)</f>
        <v>25</v>
      </c>
      <c r="E128">
        <f ca="1">COUNTIF($A$2:$A128,3)</f>
        <v>23</v>
      </c>
      <c r="F128">
        <f ca="1">COUNTIF($A$2:$A128,4)</f>
        <v>21</v>
      </c>
      <c r="G128">
        <f ca="1">COUNTIF($A$2:$A128,5)</f>
        <v>26</v>
      </c>
      <c r="H128">
        <f ca="1">COUNTIF($A$2:$A128,6)</f>
        <v>16</v>
      </c>
      <c r="I128">
        <f t="shared" ca="1" si="9"/>
        <v>12.598425196850393</v>
      </c>
      <c r="J128">
        <f t="shared" ca="1" si="10"/>
        <v>19.685039370078741</v>
      </c>
      <c r="K128">
        <f t="shared" ca="1" si="11"/>
        <v>18.110236220472441</v>
      </c>
      <c r="L128">
        <f t="shared" ca="1" si="12"/>
        <v>16.535433070866144</v>
      </c>
      <c r="M128">
        <f t="shared" ca="1" si="13"/>
        <v>20.472440944881889</v>
      </c>
      <c r="N128">
        <f t="shared" ca="1" si="14"/>
        <v>12.598425196850393</v>
      </c>
    </row>
    <row r="129" spans="1:14" x14ac:dyDescent="0.3">
      <c r="A129">
        <f t="shared" ca="1" si="8"/>
        <v>3</v>
      </c>
      <c r="C129">
        <f ca="1">COUNTIF(A$2:A129,1)</f>
        <v>16</v>
      </c>
      <c r="D129">
        <f ca="1">COUNTIF($A$2:$A129,2)</f>
        <v>25</v>
      </c>
      <c r="E129">
        <f ca="1">COUNTIF($A$2:$A129,3)</f>
        <v>24</v>
      </c>
      <c r="F129">
        <f ca="1">COUNTIF($A$2:$A129,4)</f>
        <v>21</v>
      </c>
      <c r="G129">
        <f ca="1">COUNTIF($A$2:$A129,5)</f>
        <v>26</v>
      </c>
      <c r="H129">
        <f ca="1">COUNTIF($A$2:$A129,6)</f>
        <v>16</v>
      </c>
      <c r="I129">
        <f t="shared" ca="1" si="9"/>
        <v>12.5</v>
      </c>
      <c r="J129">
        <f t="shared" ca="1" si="10"/>
        <v>19.53125</v>
      </c>
      <c r="K129">
        <f t="shared" ca="1" si="11"/>
        <v>18.75</v>
      </c>
      <c r="L129">
        <f t="shared" ca="1" si="12"/>
        <v>16.40625</v>
      </c>
      <c r="M129">
        <f t="shared" ca="1" si="13"/>
        <v>20.3125</v>
      </c>
      <c r="N129">
        <f t="shared" ca="1" si="14"/>
        <v>12.5</v>
      </c>
    </row>
    <row r="130" spans="1:14" x14ac:dyDescent="0.3">
      <c r="A130">
        <f t="shared" ca="1" si="8"/>
        <v>4</v>
      </c>
      <c r="C130">
        <f ca="1">COUNTIF(A$2:A130,1)</f>
        <v>16</v>
      </c>
      <c r="D130">
        <f ca="1">COUNTIF($A$2:$A130,2)</f>
        <v>25</v>
      </c>
      <c r="E130">
        <f ca="1">COUNTIF($A$2:$A130,3)</f>
        <v>24</v>
      </c>
      <c r="F130">
        <f ca="1">COUNTIF($A$2:$A130,4)</f>
        <v>22</v>
      </c>
      <c r="G130">
        <f ca="1">COUNTIF($A$2:$A130,5)</f>
        <v>26</v>
      </c>
      <c r="H130">
        <f ca="1">COUNTIF($A$2:$A130,6)</f>
        <v>16</v>
      </c>
      <c r="I130">
        <f t="shared" ca="1" si="9"/>
        <v>12.403100775193799</v>
      </c>
      <c r="J130">
        <f t="shared" ca="1" si="10"/>
        <v>19.379844961240313</v>
      </c>
      <c r="K130">
        <f t="shared" ca="1" si="11"/>
        <v>18.604651162790699</v>
      </c>
      <c r="L130">
        <f t="shared" ca="1" si="12"/>
        <v>17.054263565891471</v>
      </c>
      <c r="M130">
        <f t="shared" ca="1" si="13"/>
        <v>20.155038759689923</v>
      </c>
      <c r="N130">
        <f t="shared" ca="1" si="14"/>
        <v>12.403100775193799</v>
      </c>
    </row>
    <row r="131" spans="1:14" x14ac:dyDescent="0.3">
      <c r="A131">
        <f t="shared" ref="A131:A194" ca="1" si="15">ROUNDDOWN(RAND()*6+1,0)</f>
        <v>5</v>
      </c>
      <c r="C131">
        <f ca="1">COUNTIF(A$2:A131,1)</f>
        <v>16</v>
      </c>
      <c r="D131">
        <f ca="1">COUNTIF($A$2:$A131,2)</f>
        <v>25</v>
      </c>
      <c r="E131">
        <f ca="1">COUNTIF($A$2:$A131,3)</f>
        <v>24</v>
      </c>
      <c r="F131">
        <f ca="1">COUNTIF($A$2:$A131,4)</f>
        <v>22</v>
      </c>
      <c r="G131">
        <f ca="1">COUNTIF($A$2:$A131,5)</f>
        <v>27</v>
      </c>
      <c r="H131">
        <f ca="1">COUNTIF($A$2:$A131,6)</f>
        <v>16</v>
      </c>
      <c r="I131">
        <f t="shared" ref="I131:I194" ca="1" si="16">C131/(SUM($C131:$H131))*100</f>
        <v>12.307692307692308</v>
      </c>
      <c r="J131">
        <f t="shared" ref="J131:J194" ca="1" si="17">D131/(SUM($C131:$H131))*100</f>
        <v>19.230769230769234</v>
      </c>
      <c r="K131">
        <f t="shared" ref="K131:K194" ca="1" si="18">E131/(SUM($C131:$H131))*100</f>
        <v>18.461538461538463</v>
      </c>
      <c r="L131">
        <f t="shared" ref="L131:L194" ca="1" si="19">F131/(SUM($C131:$H131))*100</f>
        <v>16.923076923076923</v>
      </c>
      <c r="M131">
        <f t="shared" ref="M131:M194" ca="1" si="20">G131/(SUM($C131:$H131))*100</f>
        <v>20.76923076923077</v>
      </c>
      <c r="N131">
        <f t="shared" ref="N131:N194" ca="1" si="21">H131/(SUM($C131:$H131))*100</f>
        <v>12.307692307692308</v>
      </c>
    </row>
    <row r="132" spans="1:14" x14ac:dyDescent="0.3">
      <c r="A132">
        <f t="shared" ca="1" si="15"/>
        <v>4</v>
      </c>
      <c r="C132">
        <f ca="1">COUNTIF(A$2:A132,1)</f>
        <v>16</v>
      </c>
      <c r="D132">
        <f ca="1">COUNTIF($A$2:$A132,2)</f>
        <v>25</v>
      </c>
      <c r="E132">
        <f ca="1">COUNTIF($A$2:$A132,3)</f>
        <v>24</v>
      </c>
      <c r="F132">
        <f ca="1">COUNTIF($A$2:$A132,4)</f>
        <v>23</v>
      </c>
      <c r="G132">
        <f ca="1">COUNTIF($A$2:$A132,5)</f>
        <v>27</v>
      </c>
      <c r="H132">
        <f ca="1">COUNTIF($A$2:$A132,6)</f>
        <v>16</v>
      </c>
      <c r="I132">
        <f t="shared" ca="1" si="16"/>
        <v>12.213740458015266</v>
      </c>
      <c r="J132">
        <f t="shared" ca="1" si="17"/>
        <v>19.083969465648856</v>
      </c>
      <c r="K132">
        <f t="shared" ca="1" si="18"/>
        <v>18.320610687022899</v>
      </c>
      <c r="L132">
        <f t="shared" ca="1" si="19"/>
        <v>17.557251908396946</v>
      </c>
      <c r="M132">
        <f t="shared" ca="1" si="20"/>
        <v>20.610687022900763</v>
      </c>
      <c r="N132">
        <f t="shared" ca="1" si="21"/>
        <v>12.213740458015266</v>
      </c>
    </row>
    <row r="133" spans="1:14" x14ac:dyDescent="0.3">
      <c r="A133">
        <f t="shared" ca="1" si="15"/>
        <v>3</v>
      </c>
      <c r="C133">
        <f ca="1">COUNTIF(A$2:A133,1)</f>
        <v>16</v>
      </c>
      <c r="D133">
        <f ca="1">COUNTIF($A$2:$A133,2)</f>
        <v>25</v>
      </c>
      <c r="E133">
        <f ca="1">COUNTIF($A$2:$A133,3)</f>
        <v>25</v>
      </c>
      <c r="F133">
        <f ca="1">COUNTIF($A$2:$A133,4)</f>
        <v>23</v>
      </c>
      <c r="G133">
        <f ca="1">COUNTIF($A$2:$A133,5)</f>
        <v>27</v>
      </c>
      <c r="H133">
        <f ca="1">COUNTIF($A$2:$A133,6)</f>
        <v>16</v>
      </c>
      <c r="I133">
        <f t="shared" ca="1" si="16"/>
        <v>12.121212121212121</v>
      </c>
      <c r="J133">
        <f t="shared" ca="1" si="17"/>
        <v>18.939393939393938</v>
      </c>
      <c r="K133">
        <f t="shared" ca="1" si="18"/>
        <v>18.939393939393938</v>
      </c>
      <c r="L133">
        <f t="shared" ca="1" si="19"/>
        <v>17.424242424242426</v>
      </c>
      <c r="M133">
        <f t="shared" ca="1" si="20"/>
        <v>20.454545454545457</v>
      </c>
      <c r="N133">
        <f t="shared" ca="1" si="21"/>
        <v>12.121212121212121</v>
      </c>
    </row>
    <row r="134" spans="1:14" x14ac:dyDescent="0.3">
      <c r="A134">
        <f t="shared" ca="1" si="15"/>
        <v>6</v>
      </c>
      <c r="C134">
        <f ca="1">COUNTIF(A$2:A134,1)</f>
        <v>16</v>
      </c>
      <c r="D134">
        <f ca="1">COUNTIF($A$2:$A134,2)</f>
        <v>25</v>
      </c>
      <c r="E134">
        <f ca="1">COUNTIF($A$2:$A134,3)</f>
        <v>25</v>
      </c>
      <c r="F134">
        <f ca="1">COUNTIF($A$2:$A134,4)</f>
        <v>23</v>
      </c>
      <c r="G134">
        <f ca="1">COUNTIF($A$2:$A134,5)</f>
        <v>27</v>
      </c>
      <c r="H134">
        <f ca="1">COUNTIF($A$2:$A134,6)</f>
        <v>17</v>
      </c>
      <c r="I134">
        <f t="shared" ca="1" si="16"/>
        <v>12.030075187969924</v>
      </c>
      <c r="J134">
        <f t="shared" ca="1" si="17"/>
        <v>18.796992481203006</v>
      </c>
      <c r="K134">
        <f t="shared" ca="1" si="18"/>
        <v>18.796992481203006</v>
      </c>
      <c r="L134">
        <f t="shared" ca="1" si="19"/>
        <v>17.293233082706767</v>
      </c>
      <c r="M134">
        <f t="shared" ca="1" si="20"/>
        <v>20.300751879699249</v>
      </c>
      <c r="N134">
        <f t="shared" ca="1" si="21"/>
        <v>12.781954887218044</v>
      </c>
    </row>
    <row r="135" spans="1:14" x14ac:dyDescent="0.3">
      <c r="A135">
        <f t="shared" ca="1" si="15"/>
        <v>4</v>
      </c>
      <c r="C135">
        <f ca="1">COUNTIF(A$2:A135,1)</f>
        <v>16</v>
      </c>
      <c r="D135">
        <f ca="1">COUNTIF($A$2:$A135,2)</f>
        <v>25</v>
      </c>
      <c r="E135">
        <f ca="1">COUNTIF($A$2:$A135,3)</f>
        <v>25</v>
      </c>
      <c r="F135">
        <f ca="1">COUNTIF($A$2:$A135,4)</f>
        <v>24</v>
      </c>
      <c r="G135">
        <f ca="1">COUNTIF($A$2:$A135,5)</f>
        <v>27</v>
      </c>
      <c r="H135">
        <f ca="1">COUNTIF($A$2:$A135,6)</f>
        <v>17</v>
      </c>
      <c r="I135">
        <f t="shared" ca="1" si="16"/>
        <v>11.940298507462686</v>
      </c>
      <c r="J135">
        <f t="shared" ca="1" si="17"/>
        <v>18.656716417910449</v>
      </c>
      <c r="K135">
        <f t="shared" ca="1" si="18"/>
        <v>18.656716417910449</v>
      </c>
      <c r="L135">
        <f t="shared" ca="1" si="19"/>
        <v>17.910447761194028</v>
      </c>
      <c r="M135">
        <f t="shared" ca="1" si="20"/>
        <v>20.149253731343283</v>
      </c>
      <c r="N135">
        <f t="shared" ca="1" si="21"/>
        <v>12.686567164179104</v>
      </c>
    </row>
    <row r="136" spans="1:14" x14ac:dyDescent="0.3">
      <c r="A136">
        <f t="shared" ca="1" si="15"/>
        <v>5</v>
      </c>
      <c r="C136">
        <f ca="1">COUNTIF(A$2:A136,1)</f>
        <v>16</v>
      </c>
      <c r="D136">
        <f ca="1">COUNTIF($A$2:$A136,2)</f>
        <v>25</v>
      </c>
      <c r="E136">
        <f ca="1">COUNTIF($A$2:$A136,3)</f>
        <v>25</v>
      </c>
      <c r="F136">
        <f ca="1">COUNTIF($A$2:$A136,4)</f>
        <v>24</v>
      </c>
      <c r="G136">
        <f ca="1">COUNTIF($A$2:$A136,5)</f>
        <v>28</v>
      </c>
      <c r="H136">
        <f ca="1">COUNTIF($A$2:$A136,6)</f>
        <v>17</v>
      </c>
      <c r="I136">
        <f t="shared" ca="1" si="16"/>
        <v>11.851851851851853</v>
      </c>
      <c r="J136">
        <f t="shared" ca="1" si="17"/>
        <v>18.518518518518519</v>
      </c>
      <c r="K136">
        <f t="shared" ca="1" si="18"/>
        <v>18.518518518518519</v>
      </c>
      <c r="L136">
        <f t="shared" ca="1" si="19"/>
        <v>17.777777777777779</v>
      </c>
      <c r="M136">
        <f t="shared" ca="1" si="20"/>
        <v>20.74074074074074</v>
      </c>
      <c r="N136">
        <f t="shared" ca="1" si="21"/>
        <v>12.592592592592592</v>
      </c>
    </row>
    <row r="137" spans="1:14" x14ac:dyDescent="0.3">
      <c r="A137">
        <f t="shared" ca="1" si="15"/>
        <v>6</v>
      </c>
      <c r="C137">
        <f ca="1">COUNTIF(A$2:A137,1)</f>
        <v>16</v>
      </c>
      <c r="D137">
        <f ca="1">COUNTIF($A$2:$A137,2)</f>
        <v>25</v>
      </c>
      <c r="E137">
        <f ca="1">COUNTIF($A$2:$A137,3)</f>
        <v>25</v>
      </c>
      <c r="F137">
        <f ca="1">COUNTIF($A$2:$A137,4)</f>
        <v>24</v>
      </c>
      <c r="G137">
        <f ca="1">COUNTIF($A$2:$A137,5)</f>
        <v>28</v>
      </c>
      <c r="H137">
        <f ca="1">COUNTIF($A$2:$A137,6)</f>
        <v>18</v>
      </c>
      <c r="I137">
        <f t="shared" ca="1" si="16"/>
        <v>11.76470588235294</v>
      </c>
      <c r="J137">
        <f t="shared" ca="1" si="17"/>
        <v>18.382352941176471</v>
      </c>
      <c r="K137">
        <f t="shared" ca="1" si="18"/>
        <v>18.382352941176471</v>
      </c>
      <c r="L137">
        <f t="shared" ca="1" si="19"/>
        <v>17.647058823529413</v>
      </c>
      <c r="M137">
        <f t="shared" ca="1" si="20"/>
        <v>20.588235294117645</v>
      </c>
      <c r="N137">
        <f t="shared" ca="1" si="21"/>
        <v>13.23529411764706</v>
      </c>
    </row>
    <row r="138" spans="1:14" x14ac:dyDescent="0.3">
      <c r="A138">
        <f t="shared" ca="1" si="15"/>
        <v>2</v>
      </c>
      <c r="C138">
        <f ca="1">COUNTIF(A$2:A138,1)</f>
        <v>16</v>
      </c>
      <c r="D138">
        <f ca="1">COUNTIF($A$2:$A138,2)</f>
        <v>26</v>
      </c>
      <c r="E138">
        <f ca="1">COUNTIF($A$2:$A138,3)</f>
        <v>25</v>
      </c>
      <c r="F138">
        <f ca="1">COUNTIF($A$2:$A138,4)</f>
        <v>24</v>
      </c>
      <c r="G138">
        <f ca="1">COUNTIF($A$2:$A138,5)</f>
        <v>28</v>
      </c>
      <c r="H138">
        <f ca="1">COUNTIF($A$2:$A138,6)</f>
        <v>18</v>
      </c>
      <c r="I138">
        <f t="shared" ca="1" si="16"/>
        <v>11.678832116788321</v>
      </c>
      <c r="J138">
        <f t="shared" ca="1" si="17"/>
        <v>18.978102189781019</v>
      </c>
      <c r="K138">
        <f t="shared" ca="1" si="18"/>
        <v>18.248175182481752</v>
      </c>
      <c r="L138">
        <f t="shared" ca="1" si="19"/>
        <v>17.518248175182482</v>
      </c>
      <c r="M138">
        <f t="shared" ca="1" si="20"/>
        <v>20.437956204379564</v>
      </c>
      <c r="N138">
        <f t="shared" ca="1" si="21"/>
        <v>13.138686131386862</v>
      </c>
    </row>
    <row r="139" spans="1:14" x14ac:dyDescent="0.3">
      <c r="A139">
        <f t="shared" ca="1" si="15"/>
        <v>6</v>
      </c>
      <c r="C139">
        <f ca="1">COUNTIF(A$2:A139,1)</f>
        <v>16</v>
      </c>
      <c r="D139">
        <f ca="1">COUNTIF($A$2:$A139,2)</f>
        <v>26</v>
      </c>
      <c r="E139">
        <f ca="1">COUNTIF($A$2:$A139,3)</f>
        <v>25</v>
      </c>
      <c r="F139">
        <f ca="1">COUNTIF($A$2:$A139,4)</f>
        <v>24</v>
      </c>
      <c r="G139">
        <f ca="1">COUNTIF($A$2:$A139,5)</f>
        <v>28</v>
      </c>
      <c r="H139">
        <f ca="1">COUNTIF($A$2:$A139,6)</f>
        <v>19</v>
      </c>
      <c r="I139">
        <f t="shared" ca="1" si="16"/>
        <v>11.594202898550725</v>
      </c>
      <c r="J139">
        <f t="shared" ca="1" si="17"/>
        <v>18.840579710144929</v>
      </c>
      <c r="K139">
        <f t="shared" ca="1" si="18"/>
        <v>18.115942028985508</v>
      </c>
      <c r="L139">
        <f t="shared" ca="1" si="19"/>
        <v>17.391304347826086</v>
      </c>
      <c r="M139">
        <f t="shared" ca="1" si="20"/>
        <v>20.289855072463769</v>
      </c>
      <c r="N139">
        <f t="shared" ca="1" si="21"/>
        <v>13.768115942028986</v>
      </c>
    </row>
    <row r="140" spans="1:14" x14ac:dyDescent="0.3">
      <c r="A140">
        <f t="shared" ca="1" si="15"/>
        <v>6</v>
      </c>
      <c r="C140">
        <f ca="1">COUNTIF(A$2:A140,1)</f>
        <v>16</v>
      </c>
      <c r="D140">
        <f ca="1">COUNTIF($A$2:$A140,2)</f>
        <v>26</v>
      </c>
      <c r="E140">
        <f ca="1">COUNTIF($A$2:$A140,3)</f>
        <v>25</v>
      </c>
      <c r="F140">
        <f ca="1">COUNTIF($A$2:$A140,4)</f>
        <v>24</v>
      </c>
      <c r="G140">
        <f ca="1">COUNTIF($A$2:$A140,5)</f>
        <v>28</v>
      </c>
      <c r="H140">
        <f ca="1">COUNTIF($A$2:$A140,6)</f>
        <v>20</v>
      </c>
      <c r="I140">
        <f t="shared" ca="1" si="16"/>
        <v>11.510791366906476</v>
      </c>
      <c r="J140">
        <f t="shared" ca="1" si="17"/>
        <v>18.705035971223023</v>
      </c>
      <c r="K140">
        <f t="shared" ca="1" si="18"/>
        <v>17.985611510791365</v>
      </c>
      <c r="L140">
        <f t="shared" ca="1" si="19"/>
        <v>17.266187050359711</v>
      </c>
      <c r="M140">
        <f t="shared" ca="1" si="20"/>
        <v>20.14388489208633</v>
      </c>
      <c r="N140">
        <f t="shared" ca="1" si="21"/>
        <v>14.388489208633093</v>
      </c>
    </row>
    <row r="141" spans="1:14" x14ac:dyDescent="0.3">
      <c r="A141">
        <f t="shared" ca="1" si="15"/>
        <v>5</v>
      </c>
      <c r="C141">
        <f ca="1">COUNTIF(A$2:A141,1)</f>
        <v>16</v>
      </c>
      <c r="D141">
        <f ca="1">COUNTIF($A$2:$A141,2)</f>
        <v>26</v>
      </c>
      <c r="E141">
        <f ca="1">COUNTIF($A$2:$A141,3)</f>
        <v>25</v>
      </c>
      <c r="F141">
        <f ca="1">COUNTIF($A$2:$A141,4)</f>
        <v>24</v>
      </c>
      <c r="G141">
        <f ca="1">COUNTIF($A$2:$A141,5)</f>
        <v>29</v>
      </c>
      <c r="H141">
        <f ca="1">COUNTIF($A$2:$A141,6)</f>
        <v>20</v>
      </c>
      <c r="I141">
        <f t="shared" ca="1" si="16"/>
        <v>11.428571428571429</v>
      </c>
      <c r="J141">
        <f t="shared" ca="1" si="17"/>
        <v>18.571428571428573</v>
      </c>
      <c r="K141">
        <f t="shared" ca="1" si="18"/>
        <v>17.857142857142858</v>
      </c>
      <c r="L141">
        <f t="shared" ca="1" si="19"/>
        <v>17.142857142857142</v>
      </c>
      <c r="M141">
        <f t="shared" ca="1" si="20"/>
        <v>20.714285714285715</v>
      </c>
      <c r="N141">
        <f t="shared" ca="1" si="21"/>
        <v>14.285714285714285</v>
      </c>
    </row>
    <row r="142" spans="1:14" x14ac:dyDescent="0.3">
      <c r="A142">
        <f t="shared" ca="1" si="15"/>
        <v>6</v>
      </c>
      <c r="C142">
        <f ca="1">COUNTIF(A$2:A142,1)</f>
        <v>16</v>
      </c>
      <c r="D142">
        <f ca="1">COUNTIF($A$2:$A142,2)</f>
        <v>26</v>
      </c>
      <c r="E142">
        <f ca="1">COUNTIF($A$2:$A142,3)</f>
        <v>25</v>
      </c>
      <c r="F142">
        <f ca="1">COUNTIF($A$2:$A142,4)</f>
        <v>24</v>
      </c>
      <c r="G142">
        <f ca="1">COUNTIF($A$2:$A142,5)</f>
        <v>29</v>
      </c>
      <c r="H142">
        <f ca="1">COUNTIF($A$2:$A142,6)</f>
        <v>21</v>
      </c>
      <c r="I142">
        <f t="shared" ca="1" si="16"/>
        <v>11.347517730496454</v>
      </c>
      <c r="J142">
        <f t="shared" ca="1" si="17"/>
        <v>18.439716312056735</v>
      </c>
      <c r="K142">
        <f t="shared" ca="1" si="18"/>
        <v>17.730496453900709</v>
      </c>
      <c r="L142">
        <f t="shared" ca="1" si="19"/>
        <v>17.021276595744681</v>
      </c>
      <c r="M142">
        <f t="shared" ca="1" si="20"/>
        <v>20.567375886524822</v>
      </c>
      <c r="N142">
        <f t="shared" ca="1" si="21"/>
        <v>14.893617021276595</v>
      </c>
    </row>
    <row r="143" spans="1:14" x14ac:dyDescent="0.3">
      <c r="A143">
        <f t="shared" ca="1" si="15"/>
        <v>6</v>
      </c>
      <c r="C143">
        <f ca="1">COUNTIF(A$2:A143,1)</f>
        <v>16</v>
      </c>
      <c r="D143">
        <f ca="1">COUNTIF($A$2:$A143,2)</f>
        <v>26</v>
      </c>
      <c r="E143">
        <f ca="1">COUNTIF($A$2:$A143,3)</f>
        <v>25</v>
      </c>
      <c r="F143">
        <f ca="1">COUNTIF($A$2:$A143,4)</f>
        <v>24</v>
      </c>
      <c r="G143">
        <f ca="1">COUNTIF($A$2:$A143,5)</f>
        <v>29</v>
      </c>
      <c r="H143">
        <f ca="1">COUNTIF($A$2:$A143,6)</f>
        <v>22</v>
      </c>
      <c r="I143">
        <f t="shared" ca="1" si="16"/>
        <v>11.267605633802818</v>
      </c>
      <c r="J143">
        <f t="shared" ca="1" si="17"/>
        <v>18.30985915492958</v>
      </c>
      <c r="K143">
        <f t="shared" ca="1" si="18"/>
        <v>17.6056338028169</v>
      </c>
      <c r="L143">
        <f t="shared" ca="1" si="19"/>
        <v>16.901408450704224</v>
      </c>
      <c r="M143">
        <f t="shared" ca="1" si="20"/>
        <v>20.422535211267608</v>
      </c>
      <c r="N143">
        <f t="shared" ca="1" si="21"/>
        <v>15.492957746478872</v>
      </c>
    </row>
    <row r="144" spans="1:14" x14ac:dyDescent="0.3">
      <c r="A144">
        <f t="shared" ca="1" si="15"/>
        <v>5</v>
      </c>
      <c r="C144">
        <f ca="1">COUNTIF(A$2:A144,1)</f>
        <v>16</v>
      </c>
      <c r="D144">
        <f ca="1">COUNTIF($A$2:$A144,2)</f>
        <v>26</v>
      </c>
      <c r="E144">
        <f ca="1">COUNTIF($A$2:$A144,3)</f>
        <v>25</v>
      </c>
      <c r="F144">
        <f ca="1">COUNTIF($A$2:$A144,4)</f>
        <v>24</v>
      </c>
      <c r="G144">
        <f ca="1">COUNTIF($A$2:$A144,5)</f>
        <v>30</v>
      </c>
      <c r="H144">
        <f ca="1">COUNTIF($A$2:$A144,6)</f>
        <v>22</v>
      </c>
      <c r="I144">
        <f t="shared" ca="1" si="16"/>
        <v>11.188811188811188</v>
      </c>
      <c r="J144">
        <f t="shared" ca="1" si="17"/>
        <v>18.181818181818183</v>
      </c>
      <c r="K144">
        <f t="shared" ca="1" si="18"/>
        <v>17.482517482517483</v>
      </c>
      <c r="L144">
        <f t="shared" ca="1" si="19"/>
        <v>16.783216783216783</v>
      </c>
      <c r="M144">
        <f t="shared" ca="1" si="20"/>
        <v>20.97902097902098</v>
      </c>
      <c r="N144">
        <f t="shared" ca="1" si="21"/>
        <v>15.384615384615385</v>
      </c>
    </row>
    <row r="145" spans="1:14" x14ac:dyDescent="0.3">
      <c r="A145">
        <f t="shared" ca="1" si="15"/>
        <v>6</v>
      </c>
      <c r="C145">
        <f ca="1">COUNTIF(A$2:A145,1)</f>
        <v>16</v>
      </c>
      <c r="D145">
        <f ca="1">COUNTIF($A$2:$A145,2)</f>
        <v>26</v>
      </c>
      <c r="E145">
        <f ca="1">COUNTIF($A$2:$A145,3)</f>
        <v>25</v>
      </c>
      <c r="F145">
        <f ca="1">COUNTIF($A$2:$A145,4)</f>
        <v>24</v>
      </c>
      <c r="G145">
        <f ca="1">COUNTIF($A$2:$A145,5)</f>
        <v>30</v>
      </c>
      <c r="H145">
        <f ca="1">COUNTIF($A$2:$A145,6)</f>
        <v>23</v>
      </c>
      <c r="I145">
        <f t="shared" ca="1" si="16"/>
        <v>11.111111111111111</v>
      </c>
      <c r="J145">
        <f t="shared" ca="1" si="17"/>
        <v>18.055555555555554</v>
      </c>
      <c r="K145">
        <f t="shared" ca="1" si="18"/>
        <v>17.361111111111111</v>
      </c>
      <c r="L145">
        <f t="shared" ca="1" si="19"/>
        <v>16.666666666666664</v>
      </c>
      <c r="M145">
        <f t="shared" ca="1" si="20"/>
        <v>20.833333333333336</v>
      </c>
      <c r="N145">
        <f t="shared" ca="1" si="21"/>
        <v>15.972222222222221</v>
      </c>
    </row>
    <row r="146" spans="1:14" x14ac:dyDescent="0.3">
      <c r="A146">
        <f t="shared" ca="1" si="15"/>
        <v>1</v>
      </c>
      <c r="C146">
        <f ca="1">COUNTIF(A$2:A146,1)</f>
        <v>17</v>
      </c>
      <c r="D146">
        <f ca="1">COUNTIF($A$2:$A146,2)</f>
        <v>26</v>
      </c>
      <c r="E146">
        <f ca="1">COUNTIF($A$2:$A146,3)</f>
        <v>25</v>
      </c>
      <c r="F146">
        <f ca="1">COUNTIF($A$2:$A146,4)</f>
        <v>24</v>
      </c>
      <c r="G146">
        <f ca="1">COUNTIF($A$2:$A146,5)</f>
        <v>30</v>
      </c>
      <c r="H146">
        <f ca="1">COUNTIF($A$2:$A146,6)</f>
        <v>23</v>
      </c>
      <c r="I146">
        <f t="shared" ca="1" si="16"/>
        <v>11.724137931034482</v>
      </c>
      <c r="J146">
        <f t="shared" ca="1" si="17"/>
        <v>17.931034482758619</v>
      </c>
      <c r="K146">
        <f t="shared" ca="1" si="18"/>
        <v>17.241379310344829</v>
      </c>
      <c r="L146">
        <f t="shared" ca="1" si="19"/>
        <v>16.551724137931036</v>
      </c>
      <c r="M146">
        <f t="shared" ca="1" si="20"/>
        <v>20.689655172413794</v>
      </c>
      <c r="N146">
        <f t="shared" ca="1" si="21"/>
        <v>15.862068965517242</v>
      </c>
    </row>
    <row r="147" spans="1:14" x14ac:dyDescent="0.3">
      <c r="A147">
        <f t="shared" ca="1" si="15"/>
        <v>2</v>
      </c>
      <c r="C147">
        <f ca="1">COUNTIF(A$2:A147,1)</f>
        <v>17</v>
      </c>
      <c r="D147">
        <f ca="1">COUNTIF($A$2:$A147,2)</f>
        <v>27</v>
      </c>
      <c r="E147">
        <f ca="1">COUNTIF($A$2:$A147,3)</f>
        <v>25</v>
      </c>
      <c r="F147">
        <f ca="1">COUNTIF($A$2:$A147,4)</f>
        <v>24</v>
      </c>
      <c r="G147">
        <f ca="1">COUNTIF($A$2:$A147,5)</f>
        <v>30</v>
      </c>
      <c r="H147">
        <f ca="1">COUNTIF($A$2:$A147,6)</f>
        <v>23</v>
      </c>
      <c r="I147">
        <f t="shared" ca="1" si="16"/>
        <v>11.643835616438356</v>
      </c>
      <c r="J147">
        <f t="shared" ca="1" si="17"/>
        <v>18.493150684931507</v>
      </c>
      <c r="K147">
        <f t="shared" ca="1" si="18"/>
        <v>17.123287671232877</v>
      </c>
      <c r="L147">
        <f t="shared" ca="1" si="19"/>
        <v>16.43835616438356</v>
      </c>
      <c r="M147">
        <f t="shared" ca="1" si="20"/>
        <v>20.547945205479451</v>
      </c>
      <c r="N147">
        <f t="shared" ca="1" si="21"/>
        <v>15.753424657534246</v>
      </c>
    </row>
    <row r="148" spans="1:14" x14ac:dyDescent="0.3">
      <c r="A148">
        <f t="shared" ca="1" si="15"/>
        <v>6</v>
      </c>
      <c r="C148">
        <f ca="1">COUNTIF(A$2:A148,1)</f>
        <v>17</v>
      </c>
      <c r="D148">
        <f ca="1">COUNTIF($A$2:$A148,2)</f>
        <v>27</v>
      </c>
      <c r="E148">
        <f ca="1">COUNTIF($A$2:$A148,3)</f>
        <v>25</v>
      </c>
      <c r="F148">
        <f ca="1">COUNTIF($A$2:$A148,4)</f>
        <v>24</v>
      </c>
      <c r="G148">
        <f ca="1">COUNTIF($A$2:$A148,5)</f>
        <v>30</v>
      </c>
      <c r="H148">
        <f ca="1">COUNTIF($A$2:$A148,6)</f>
        <v>24</v>
      </c>
      <c r="I148">
        <f t="shared" ca="1" si="16"/>
        <v>11.564625850340136</v>
      </c>
      <c r="J148">
        <f t="shared" ca="1" si="17"/>
        <v>18.367346938775512</v>
      </c>
      <c r="K148">
        <f t="shared" ca="1" si="18"/>
        <v>17.006802721088434</v>
      </c>
      <c r="L148">
        <f t="shared" ca="1" si="19"/>
        <v>16.326530612244898</v>
      </c>
      <c r="M148">
        <f t="shared" ca="1" si="20"/>
        <v>20.408163265306122</v>
      </c>
      <c r="N148">
        <f t="shared" ca="1" si="21"/>
        <v>16.326530612244898</v>
      </c>
    </row>
    <row r="149" spans="1:14" x14ac:dyDescent="0.3">
      <c r="A149">
        <f t="shared" ca="1" si="15"/>
        <v>3</v>
      </c>
      <c r="C149">
        <f ca="1">COUNTIF(A$2:A149,1)</f>
        <v>17</v>
      </c>
      <c r="D149">
        <f ca="1">COUNTIF($A$2:$A149,2)</f>
        <v>27</v>
      </c>
      <c r="E149">
        <f ca="1">COUNTIF($A$2:$A149,3)</f>
        <v>26</v>
      </c>
      <c r="F149">
        <f ca="1">COUNTIF($A$2:$A149,4)</f>
        <v>24</v>
      </c>
      <c r="G149">
        <f ca="1">COUNTIF($A$2:$A149,5)</f>
        <v>30</v>
      </c>
      <c r="H149">
        <f ca="1">COUNTIF($A$2:$A149,6)</f>
        <v>24</v>
      </c>
      <c r="I149">
        <f t="shared" ca="1" si="16"/>
        <v>11.486486486486488</v>
      </c>
      <c r="J149">
        <f t="shared" ca="1" si="17"/>
        <v>18.243243243243242</v>
      </c>
      <c r="K149">
        <f t="shared" ca="1" si="18"/>
        <v>17.567567567567568</v>
      </c>
      <c r="L149">
        <f t="shared" ca="1" si="19"/>
        <v>16.216216216216218</v>
      </c>
      <c r="M149">
        <f t="shared" ca="1" si="20"/>
        <v>20.27027027027027</v>
      </c>
      <c r="N149">
        <f t="shared" ca="1" si="21"/>
        <v>16.216216216216218</v>
      </c>
    </row>
    <row r="150" spans="1:14" x14ac:dyDescent="0.3">
      <c r="A150">
        <f t="shared" ca="1" si="15"/>
        <v>2</v>
      </c>
      <c r="C150">
        <f ca="1">COUNTIF(A$2:A150,1)</f>
        <v>17</v>
      </c>
      <c r="D150">
        <f ca="1">COUNTIF($A$2:$A150,2)</f>
        <v>28</v>
      </c>
      <c r="E150">
        <f ca="1">COUNTIF($A$2:$A150,3)</f>
        <v>26</v>
      </c>
      <c r="F150">
        <f ca="1">COUNTIF($A$2:$A150,4)</f>
        <v>24</v>
      </c>
      <c r="G150">
        <f ca="1">COUNTIF($A$2:$A150,5)</f>
        <v>30</v>
      </c>
      <c r="H150">
        <f ca="1">COUNTIF($A$2:$A150,6)</f>
        <v>24</v>
      </c>
      <c r="I150">
        <f t="shared" ca="1" si="16"/>
        <v>11.409395973154362</v>
      </c>
      <c r="J150">
        <f t="shared" ca="1" si="17"/>
        <v>18.791946308724832</v>
      </c>
      <c r="K150">
        <f t="shared" ca="1" si="18"/>
        <v>17.449664429530202</v>
      </c>
      <c r="L150">
        <f t="shared" ca="1" si="19"/>
        <v>16.107382550335569</v>
      </c>
      <c r="M150">
        <f t="shared" ca="1" si="20"/>
        <v>20.134228187919462</v>
      </c>
      <c r="N150">
        <f t="shared" ca="1" si="21"/>
        <v>16.107382550335569</v>
      </c>
    </row>
    <row r="151" spans="1:14" x14ac:dyDescent="0.3">
      <c r="A151">
        <f t="shared" ca="1" si="15"/>
        <v>6</v>
      </c>
      <c r="C151">
        <f ca="1">COUNTIF(A$2:A151,1)</f>
        <v>17</v>
      </c>
      <c r="D151">
        <f ca="1">COUNTIF($A$2:$A151,2)</f>
        <v>28</v>
      </c>
      <c r="E151">
        <f ca="1">COUNTIF($A$2:$A151,3)</f>
        <v>26</v>
      </c>
      <c r="F151">
        <f ca="1">COUNTIF($A$2:$A151,4)</f>
        <v>24</v>
      </c>
      <c r="G151">
        <f ca="1">COUNTIF($A$2:$A151,5)</f>
        <v>30</v>
      </c>
      <c r="H151">
        <f ca="1">COUNTIF($A$2:$A151,6)</f>
        <v>25</v>
      </c>
      <c r="I151">
        <f t="shared" ca="1" si="16"/>
        <v>11.333333333333332</v>
      </c>
      <c r="J151">
        <f t="shared" ca="1" si="17"/>
        <v>18.666666666666668</v>
      </c>
      <c r="K151">
        <f t="shared" ca="1" si="18"/>
        <v>17.333333333333336</v>
      </c>
      <c r="L151">
        <f t="shared" ca="1" si="19"/>
        <v>16</v>
      </c>
      <c r="M151">
        <f t="shared" ca="1" si="20"/>
        <v>20</v>
      </c>
      <c r="N151">
        <f t="shared" ca="1" si="21"/>
        <v>16.666666666666664</v>
      </c>
    </row>
    <row r="152" spans="1:14" x14ac:dyDescent="0.3">
      <c r="A152">
        <f t="shared" ca="1" si="15"/>
        <v>4</v>
      </c>
      <c r="C152">
        <f ca="1">COUNTIF(A$2:A152,1)</f>
        <v>17</v>
      </c>
      <c r="D152">
        <f ca="1">COUNTIF($A$2:$A152,2)</f>
        <v>28</v>
      </c>
      <c r="E152">
        <f ca="1">COUNTIF($A$2:$A152,3)</f>
        <v>26</v>
      </c>
      <c r="F152">
        <f ca="1">COUNTIF($A$2:$A152,4)</f>
        <v>25</v>
      </c>
      <c r="G152">
        <f ca="1">COUNTIF($A$2:$A152,5)</f>
        <v>30</v>
      </c>
      <c r="H152">
        <f ca="1">COUNTIF($A$2:$A152,6)</f>
        <v>25</v>
      </c>
      <c r="I152">
        <f t="shared" ca="1" si="16"/>
        <v>11.258278145695364</v>
      </c>
      <c r="J152">
        <f t="shared" ca="1" si="17"/>
        <v>18.543046357615893</v>
      </c>
      <c r="K152">
        <f t="shared" ca="1" si="18"/>
        <v>17.218543046357617</v>
      </c>
      <c r="L152">
        <f t="shared" ca="1" si="19"/>
        <v>16.556291390728479</v>
      </c>
      <c r="M152">
        <f t="shared" ca="1" si="20"/>
        <v>19.867549668874172</v>
      </c>
      <c r="N152">
        <f t="shared" ca="1" si="21"/>
        <v>16.556291390728479</v>
      </c>
    </row>
    <row r="153" spans="1:14" x14ac:dyDescent="0.3">
      <c r="A153">
        <f t="shared" ca="1" si="15"/>
        <v>2</v>
      </c>
      <c r="C153">
        <f ca="1">COUNTIF(A$2:A153,1)</f>
        <v>17</v>
      </c>
      <c r="D153">
        <f ca="1">COUNTIF($A$2:$A153,2)</f>
        <v>29</v>
      </c>
      <c r="E153">
        <f ca="1">COUNTIF($A$2:$A153,3)</f>
        <v>26</v>
      </c>
      <c r="F153">
        <f ca="1">COUNTIF($A$2:$A153,4)</f>
        <v>25</v>
      </c>
      <c r="G153">
        <f ca="1">COUNTIF($A$2:$A153,5)</f>
        <v>30</v>
      </c>
      <c r="H153">
        <f ca="1">COUNTIF($A$2:$A153,6)</f>
        <v>25</v>
      </c>
      <c r="I153">
        <f t="shared" ca="1" si="16"/>
        <v>11.184210526315789</v>
      </c>
      <c r="J153">
        <f t="shared" ca="1" si="17"/>
        <v>19.078947368421055</v>
      </c>
      <c r="K153">
        <f t="shared" ca="1" si="18"/>
        <v>17.105263157894736</v>
      </c>
      <c r="L153">
        <f t="shared" ca="1" si="19"/>
        <v>16.447368421052634</v>
      </c>
      <c r="M153">
        <f t="shared" ca="1" si="20"/>
        <v>19.736842105263158</v>
      </c>
      <c r="N153">
        <f t="shared" ca="1" si="21"/>
        <v>16.447368421052634</v>
      </c>
    </row>
    <row r="154" spans="1:14" x14ac:dyDescent="0.3">
      <c r="A154">
        <f t="shared" ca="1" si="15"/>
        <v>1</v>
      </c>
      <c r="C154">
        <f ca="1">COUNTIF(A$2:A154,1)</f>
        <v>18</v>
      </c>
      <c r="D154">
        <f ca="1">COUNTIF($A$2:$A154,2)</f>
        <v>29</v>
      </c>
      <c r="E154">
        <f ca="1">COUNTIF($A$2:$A154,3)</f>
        <v>26</v>
      </c>
      <c r="F154">
        <f ca="1">COUNTIF($A$2:$A154,4)</f>
        <v>25</v>
      </c>
      <c r="G154">
        <f ca="1">COUNTIF($A$2:$A154,5)</f>
        <v>30</v>
      </c>
      <c r="H154">
        <f ca="1">COUNTIF($A$2:$A154,6)</f>
        <v>25</v>
      </c>
      <c r="I154">
        <f t="shared" ca="1" si="16"/>
        <v>11.76470588235294</v>
      </c>
      <c r="J154">
        <f t="shared" ca="1" si="17"/>
        <v>18.954248366013072</v>
      </c>
      <c r="K154">
        <f t="shared" ca="1" si="18"/>
        <v>16.993464052287582</v>
      </c>
      <c r="L154">
        <f t="shared" ca="1" si="19"/>
        <v>16.33986928104575</v>
      </c>
      <c r="M154">
        <f t="shared" ca="1" si="20"/>
        <v>19.607843137254903</v>
      </c>
      <c r="N154">
        <f t="shared" ca="1" si="21"/>
        <v>16.33986928104575</v>
      </c>
    </row>
    <row r="155" spans="1:14" x14ac:dyDescent="0.3">
      <c r="A155">
        <f t="shared" ca="1" si="15"/>
        <v>5</v>
      </c>
      <c r="C155">
        <f ca="1">COUNTIF(A$2:A155,1)</f>
        <v>18</v>
      </c>
      <c r="D155">
        <f ca="1">COUNTIF($A$2:$A155,2)</f>
        <v>29</v>
      </c>
      <c r="E155">
        <f ca="1">COUNTIF($A$2:$A155,3)</f>
        <v>26</v>
      </c>
      <c r="F155">
        <f ca="1">COUNTIF($A$2:$A155,4)</f>
        <v>25</v>
      </c>
      <c r="G155">
        <f ca="1">COUNTIF($A$2:$A155,5)</f>
        <v>31</v>
      </c>
      <c r="H155">
        <f ca="1">COUNTIF($A$2:$A155,6)</f>
        <v>25</v>
      </c>
      <c r="I155">
        <f t="shared" ca="1" si="16"/>
        <v>11.688311688311687</v>
      </c>
      <c r="J155">
        <f t="shared" ca="1" si="17"/>
        <v>18.831168831168831</v>
      </c>
      <c r="K155">
        <f t="shared" ca="1" si="18"/>
        <v>16.883116883116884</v>
      </c>
      <c r="L155">
        <f t="shared" ca="1" si="19"/>
        <v>16.233766233766232</v>
      </c>
      <c r="M155">
        <f t="shared" ca="1" si="20"/>
        <v>20.129870129870131</v>
      </c>
      <c r="N155">
        <f t="shared" ca="1" si="21"/>
        <v>16.233766233766232</v>
      </c>
    </row>
    <row r="156" spans="1:14" x14ac:dyDescent="0.3">
      <c r="A156">
        <f t="shared" ca="1" si="15"/>
        <v>6</v>
      </c>
      <c r="C156">
        <f ca="1">COUNTIF(A$2:A156,1)</f>
        <v>18</v>
      </c>
      <c r="D156">
        <f ca="1">COUNTIF($A$2:$A156,2)</f>
        <v>29</v>
      </c>
      <c r="E156">
        <f ca="1">COUNTIF($A$2:$A156,3)</f>
        <v>26</v>
      </c>
      <c r="F156">
        <f ca="1">COUNTIF($A$2:$A156,4)</f>
        <v>25</v>
      </c>
      <c r="G156">
        <f ca="1">COUNTIF($A$2:$A156,5)</f>
        <v>31</v>
      </c>
      <c r="H156">
        <f ca="1">COUNTIF($A$2:$A156,6)</f>
        <v>26</v>
      </c>
      <c r="I156">
        <f t="shared" ca="1" si="16"/>
        <v>11.612903225806452</v>
      </c>
      <c r="J156">
        <f t="shared" ca="1" si="17"/>
        <v>18.70967741935484</v>
      </c>
      <c r="K156">
        <f t="shared" ca="1" si="18"/>
        <v>16.7741935483871</v>
      </c>
      <c r="L156">
        <f t="shared" ca="1" si="19"/>
        <v>16.129032258064516</v>
      </c>
      <c r="M156">
        <f t="shared" ca="1" si="20"/>
        <v>20</v>
      </c>
      <c r="N156">
        <f t="shared" ca="1" si="21"/>
        <v>16.7741935483871</v>
      </c>
    </row>
    <row r="157" spans="1:14" x14ac:dyDescent="0.3">
      <c r="A157">
        <f t="shared" ca="1" si="15"/>
        <v>3</v>
      </c>
      <c r="C157">
        <f ca="1">COUNTIF(A$2:A157,1)</f>
        <v>18</v>
      </c>
      <c r="D157">
        <f ca="1">COUNTIF($A$2:$A157,2)</f>
        <v>29</v>
      </c>
      <c r="E157">
        <f ca="1">COUNTIF($A$2:$A157,3)</f>
        <v>27</v>
      </c>
      <c r="F157">
        <f ca="1">COUNTIF($A$2:$A157,4)</f>
        <v>25</v>
      </c>
      <c r="G157">
        <f ca="1">COUNTIF($A$2:$A157,5)</f>
        <v>31</v>
      </c>
      <c r="H157">
        <f ca="1">COUNTIF($A$2:$A157,6)</f>
        <v>26</v>
      </c>
      <c r="I157">
        <f t="shared" ca="1" si="16"/>
        <v>11.538461538461538</v>
      </c>
      <c r="J157">
        <f t="shared" ca="1" si="17"/>
        <v>18.589743589743591</v>
      </c>
      <c r="K157">
        <f t="shared" ca="1" si="18"/>
        <v>17.307692307692307</v>
      </c>
      <c r="L157">
        <f t="shared" ca="1" si="19"/>
        <v>16.025641025641026</v>
      </c>
      <c r="M157">
        <f t="shared" ca="1" si="20"/>
        <v>19.871794871794872</v>
      </c>
      <c r="N157">
        <f t="shared" ca="1" si="21"/>
        <v>16.666666666666664</v>
      </c>
    </row>
    <row r="158" spans="1:14" x14ac:dyDescent="0.3">
      <c r="A158">
        <f t="shared" ca="1" si="15"/>
        <v>3</v>
      </c>
      <c r="C158">
        <f ca="1">COUNTIF(A$2:A158,1)</f>
        <v>18</v>
      </c>
      <c r="D158">
        <f ca="1">COUNTIF($A$2:$A158,2)</f>
        <v>29</v>
      </c>
      <c r="E158">
        <f ca="1">COUNTIF($A$2:$A158,3)</f>
        <v>28</v>
      </c>
      <c r="F158">
        <f ca="1">COUNTIF($A$2:$A158,4)</f>
        <v>25</v>
      </c>
      <c r="G158">
        <f ca="1">COUNTIF($A$2:$A158,5)</f>
        <v>31</v>
      </c>
      <c r="H158">
        <f ca="1">COUNTIF($A$2:$A158,6)</f>
        <v>26</v>
      </c>
      <c r="I158">
        <f t="shared" ca="1" si="16"/>
        <v>11.464968152866243</v>
      </c>
      <c r="J158">
        <f t="shared" ca="1" si="17"/>
        <v>18.471337579617835</v>
      </c>
      <c r="K158">
        <f t="shared" ca="1" si="18"/>
        <v>17.834394904458598</v>
      </c>
      <c r="L158">
        <f t="shared" ca="1" si="19"/>
        <v>15.923566878980891</v>
      </c>
      <c r="M158">
        <f t="shared" ca="1" si="20"/>
        <v>19.745222929936308</v>
      </c>
      <c r="N158">
        <f t="shared" ca="1" si="21"/>
        <v>16.560509554140125</v>
      </c>
    </row>
    <row r="159" spans="1:14" x14ac:dyDescent="0.3">
      <c r="A159">
        <f t="shared" ca="1" si="15"/>
        <v>6</v>
      </c>
      <c r="C159">
        <f ca="1">COUNTIF(A$2:A159,1)</f>
        <v>18</v>
      </c>
      <c r="D159">
        <f ca="1">COUNTIF($A$2:$A159,2)</f>
        <v>29</v>
      </c>
      <c r="E159">
        <f ca="1">COUNTIF($A$2:$A159,3)</f>
        <v>28</v>
      </c>
      <c r="F159">
        <f ca="1">COUNTIF($A$2:$A159,4)</f>
        <v>25</v>
      </c>
      <c r="G159">
        <f ca="1">COUNTIF($A$2:$A159,5)</f>
        <v>31</v>
      </c>
      <c r="H159">
        <f ca="1">COUNTIF($A$2:$A159,6)</f>
        <v>27</v>
      </c>
      <c r="I159">
        <f t="shared" ca="1" si="16"/>
        <v>11.39240506329114</v>
      </c>
      <c r="J159">
        <f t="shared" ca="1" si="17"/>
        <v>18.354430379746837</v>
      </c>
      <c r="K159">
        <f t="shared" ca="1" si="18"/>
        <v>17.721518987341771</v>
      </c>
      <c r="L159">
        <f t="shared" ca="1" si="19"/>
        <v>15.822784810126583</v>
      </c>
      <c r="M159">
        <f t="shared" ca="1" si="20"/>
        <v>19.62025316455696</v>
      </c>
      <c r="N159">
        <f t="shared" ca="1" si="21"/>
        <v>17.088607594936708</v>
      </c>
    </row>
    <row r="160" spans="1:14" x14ac:dyDescent="0.3">
      <c r="A160">
        <f t="shared" ca="1" si="15"/>
        <v>3</v>
      </c>
      <c r="C160">
        <f ca="1">COUNTIF(A$2:A160,1)</f>
        <v>18</v>
      </c>
      <c r="D160">
        <f ca="1">COUNTIF($A$2:$A160,2)</f>
        <v>29</v>
      </c>
      <c r="E160">
        <f ca="1">COUNTIF($A$2:$A160,3)</f>
        <v>29</v>
      </c>
      <c r="F160">
        <f ca="1">COUNTIF($A$2:$A160,4)</f>
        <v>25</v>
      </c>
      <c r="G160">
        <f ca="1">COUNTIF($A$2:$A160,5)</f>
        <v>31</v>
      </c>
      <c r="H160">
        <f ca="1">COUNTIF($A$2:$A160,6)</f>
        <v>27</v>
      </c>
      <c r="I160">
        <f t="shared" ca="1" si="16"/>
        <v>11.320754716981133</v>
      </c>
      <c r="J160">
        <f t="shared" ca="1" si="17"/>
        <v>18.238993710691823</v>
      </c>
      <c r="K160">
        <f t="shared" ca="1" si="18"/>
        <v>18.238993710691823</v>
      </c>
      <c r="L160">
        <f t="shared" ca="1" si="19"/>
        <v>15.723270440251572</v>
      </c>
      <c r="M160">
        <f t="shared" ca="1" si="20"/>
        <v>19.49685534591195</v>
      </c>
      <c r="N160">
        <f t="shared" ca="1" si="21"/>
        <v>16.981132075471699</v>
      </c>
    </row>
    <row r="161" spans="1:14" x14ac:dyDescent="0.3">
      <c r="A161">
        <f t="shared" ca="1" si="15"/>
        <v>4</v>
      </c>
      <c r="C161">
        <f ca="1">COUNTIF(A$2:A161,1)</f>
        <v>18</v>
      </c>
      <c r="D161">
        <f ca="1">COUNTIF($A$2:$A161,2)</f>
        <v>29</v>
      </c>
      <c r="E161">
        <f ca="1">COUNTIF($A$2:$A161,3)</f>
        <v>29</v>
      </c>
      <c r="F161">
        <f ca="1">COUNTIF($A$2:$A161,4)</f>
        <v>26</v>
      </c>
      <c r="G161">
        <f ca="1">COUNTIF($A$2:$A161,5)</f>
        <v>31</v>
      </c>
      <c r="H161">
        <f ca="1">COUNTIF($A$2:$A161,6)</f>
        <v>27</v>
      </c>
      <c r="I161">
        <f t="shared" ca="1" si="16"/>
        <v>11.25</v>
      </c>
      <c r="J161">
        <f t="shared" ca="1" si="17"/>
        <v>18.125</v>
      </c>
      <c r="K161">
        <f t="shared" ca="1" si="18"/>
        <v>18.125</v>
      </c>
      <c r="L161">
        <f t="shared" ca="1" si="19"/>
        <v>16.25</v>
      </c>
      <c r="M161">
        <f t="shared" ca="1" si="20"/>
        <v>19.375</v>
      </c>
      <c r="N161">
        <f t="shared" ca="1" si="21"/>
        <v>16.875</v>
      </c>
    </row>
    <row r="162" spans="1:14" x14ac:dyDescent="0.3">
      <c r="A162">
        <f t="shared" ca="1" si="15"/>
        <v>5</v>
      </c>
      <c r="C162">
        <f ca="1">COUNTIF(A$2:A162,1)</f>
        <v>18</v>
      </c>
      <c r="D162">
        <f ca="1">COUNTIF($A$2:$A162,2)</f>
        <v>29</v>
      </c>
      <c r="E162">
        <f ca="1">COUNTIF($A$2:$A162,3)</f>
        <v>29</v>
      </c>
      <c r="F162">
        <f ca="1">COUNTIF($A$2:$A162,4)</f>
        <v>26</v>
      </c>
      <c r="G162">
        <f ca="1">COUNTIF($A$2:$A162,5)</f>
        <v>32</v>
      </c>
      <c r="H162">
        <f ca="1">COUNTIF($A$2:$A162,6)</f>
        <v>27</v>
      </c>
      <c r="I162">
        <f t="shared" ca="1" si="16"/>
        <v>11.180124223602485</v>
      </c>
      <c r="J162">
        <f t="shared" ca="1" si="17"/>
        <v>18.012422360248447</v>
      </c>
      <c r="K162">
        <f t="shared" ca="1" si="18"/>
        <v>18.012422360248447</v>
      </c>
      <c r="L162">
        <f t="shared" ca="1" si="19"/>
        <v>16.149068322981368</v>
      </c>
      <c r="M162">
        <f t="shared" ca="1" si="20"/>
        <v>19.875776397515526</v>
      </c>
      <c r="N162">
        <f t="shared" ca="1" si="21"/>
        <v>16.770186335403729</v>
      </c>
    </row>
    <row r="163" spans="1:14" x14ac:dyDescent="0.3">
      <c r="A163">
        <f t="shared" ca="1" si="15"/>
        <v>3</v>
      </c>
      <c r="C163">
        <f ca="1">COUNTIF(A$2:A163,1)</f>
        <v>18</v>
      </c>
      <c r="D163">
        <f ca="1">COUNTIF($A$2:$A163,2)</f>
        <v>29</v>
      </c>
      <c r="E163">
        <f ca="1">COUNTIF($A$2:$A163,3)</f>
        <v>30</v>
      </c>
      <c r="F163">
        <f ca="1">COUNTIF($A$2:$A163,4)</f>
        <v>26</v>
      </c>
      <c r="G163">
        <f ca="1">COUNTIF($A$2:$A163,5)</f>
        <v>32</v>
      </c>
      <c r="H163">
        <f ca="1">COUNTIF($A$2:$A163,6)</f>
        <v>27</v>
      </c>
      <c r="I163">
        <f t="shared" ca="1" si="16"/>
        <v>11.111111111111111</v>
      </c>
      <c r="J163">
        <f t="shared" ca="1" si="17"/>
        <v>17.901234567901234</v>
      </c>
      <c r="K163">
        <f t="shared" ca="1" si="18"/>
        <v>18.518518518518519</v>
      </c>
      <c r="L163">
        <f t="shared" ca="1" si="19"/>
        <v>16.049382716049383</v>
      </c>
      <c r="M163">
        <f t="shared" ca="1" si="20"/>
        <v>19.753086419753085</v>
      </c>
      <c r="N163">
        <f t="shared" ca="1" si="21"/>
        <v>16.666666666666664</v>
      </c>
    </row>
    <row r="164" spans="1:14" x14ac:dyDescent="0.3">
      <c r="A164">
        <f t="shared" ca="1" si="15"/>
        <v>2</v>
      </c>
      <c r="C164">
        <f ca="1">COUNTIF(A$2:A164,1)</f>
        <v>18</v>
      </c>
      <c r="D164">
        <f ca="1">COUNTIF($A$2:$A164,2)</f>
        <v>30</v>
      </c>
      <c r="E164">
        <f ca="1">COUNTIF($A$2:$A164,3)</f>
        <v>30</v>
      </c>
      <c r="F164">
        <f ca="1">COUNTIF($A$2:$A164,4)</f>
        <v>26</v>
      </c>
      <c r="G164">
        <f ca="1">COUNTIF($A$2:$A164,5)</f>
        <v>32</v>
      </c>
      <c r="H164">
        <f ca="1">COUNTIF($A$2:$A164,6)</f>
        <v>27</v>
      </c>
      <c r="I164">
        <f t="shared" ca="1" si="16"/>
        <v>11.042944785276074</v>
      </c>
      <c r="J164">
        <f t="shared" ca="1" si="17"/>
        <v>18.404907975460123</v>
      </c>
      <c r="K164">
        <f t="shared" ca="1" si="18"/>
        <v>18.404907975460123</v>
      </c>
      <c r="L164">
        <f t="shared" ca="1" si="19"/>
        <v>15.950920245398773</v>
      </c>
      <c r="M164">
        <f t="shared" ca="1" si="20"/>
        <v>19.631901840490798</v>
      </c>
      <c r="N164">
        <f t="shared" ca="1" si="21"/>
        <v>16.564417177914109</v>
      </c>
    </row>
    <row r="165" spans="1:14" x14ac:dyDescent="0.3">
      <c r="A165">
        <f t="shared" ca="1" si="15"/>
        <v>2</v>
      </c>
      <c r="C165">
        <f ca="1">COUNTIF(A$2:A165,1)</f>
        <v>18</v>
      </c>
      <c r="D165">
        <f ca="1">COUNTIF($A$2:$A165,2)</f>
        <v>31</v>
      </c>
      <c r="E165">
        <f ca="1">COUNTIF($A$2:$A165,3)</f>
        <v>30</v>
      </c>
      <c r="F165">
        <f ca="1">COUNTIF($A$2:$A165,4)</f>
        <v>26</v>
      </c>
      <c r="G165">
        <f ca="1">COUNTIF($A$2:$A165,5)</f>
        <v>32</v>
      </c>
      <c r="H165">
        <f ca="1">COUNTIF($A$2:$A165,6)</f>
        <v>27</v>
      </c>
      <c r="I165">
        <f t="shared" ca="1" si="16"/>
        <v>10.975609756097562</v>
      </c>
      <c r="J165">
        <f t="shared" ca="1" si="17"/>
        <v>18.902439024390244</v>
      </c>
      <c r="K165">
        <f t="shared" ca="1" si="18"/>
        <v>18.292682926829269</v>
      </c>
      <c r="L165">
        <f t="shared" ca="1" si="19"/>
        <v>15.853658536585366</v>
      </c>
      <c r="M165">
        <f t="shared" ca="1" si="20"/>
        <v>19.512195121951219</v>
      </c>
      <c r="N165">
        <f t="shared" ca="1" si="21"/>
        <v>16.463414634146343</v>
      </c>
    </row>
    <row r="166" spans="1:14" x14ac:dyDescent="0.3">
      <c r="A166">
        <f t="shared" ca="1" si="15"/>
        <v>5</v>
      </c>
      <c r="C166">
        <f ca="1">COUNTIF(A$2:A166,1)</f>
        <v>18</v>
      </c>
      <c r="D166">
        <f ca="1">COUNTIF($A$2:$A166,2)</f>
        <v>31</v>
      </c>
      <c r="E166">
        <f ca="1">COUNTIF($A$2:$A166,3)</f>
        <v>30</v>
      </c>
      <c r="F166">
        <f ca="1">COUNTIF($A$2:$A166,4)</f>
        <v>26</v>
      </c>
      <c r="G166">
        <f ca="1">COUNTIF($A$2:$A166,5)</f>
        <v>33</v>
      </c>
      <c r="H166">
        <f ca="1">COUNTIF($A$2:$A166,6)</f>
        <v>27</v>
      </c>
      <c r="I166">
        <f t="shared" ca="1" si="16"/>
        <v>10.909090909090908</v>
      </c>
      <c r="J166">
        <f t="shared" ca="1" si="17"/>
        <v>18.787878787878785</v>
      </c>
      <c r="K166">
        <f t="shared" ca="1" si="18"/>
        <v>18.181818181818183</v>
      </c>
      <c r="L166">
        <f t="shared" ca="1" si="19"/>
        <v>15.757575757575756</v>
      </c>
      <c r="M166">
        <f t="shared" ca="1" si="20"/>
        <v>20</v>
      </c>
      <c r="N166">
        <f t="shared" ca="1" si="21"/>
        <v>16.363636363636363</v>
      </c>
    </row>
    <row r="167" spans="1:14" x14ac:dyDescent="0.3">
      <c r="A167">
        <f t="shared" ca="1" si="15"/>
        <v>4</v>
      </c>
      <c r="C167">
        <f ca="1">COUNTIF(A$2:A167,1)</f>
        <v>18</v>
      </c>
      <c r="D167">
        <f ca="1">COUNTIF($A$2:$A167,2)</f>
        <v>31</v>
      </c>
      <c r="E167">
        <f ca="1">COUNTIF($A$2:$A167,3)</f>
        <v>30</v>
      </c>
      <c r="F167">
        <f ca="1">COUNTIF($A$2:$A167,4)</f>
        <v>27</v>
      </c>
      <c r="G167">
        <f ca="1">COUNTIF($A$2:$A167,5)</f>
        <v>33</v>
      </c>
      <c r="H167">
        <f ca="1">COUNTIF($A$2:$A167,6)</f>
        <v>27</v>
      </c>
      <c r="I167">
        <f t="shared" ca="1" si="16"/>
        <v>10.843373493975903</v>
      </c>
      <c r="J167">
        <f t="shared" ca="1" si="17"/>
        <v>18.674698795180721</v>
      </c>
      <c r="K167">
        <f t="shared" ca="1" si="18"/>
        <v>18.072289156626507</v>
      </c>
      <c r="L167">
        <f t="shared" ca="1" si="19"/>
        <v>16.265060240963855</v>
      </c>
      <c r="M167">
        <f t="shared" ca="1" si="20"/>
        <v>19.879518072289155</v>
      </c>
      <c r="N167">
        <f t="shared" ca="1" si="21"/>
        <v>16.265060240963855</v>
      </c>
    </row>
    <row r="168" spans="1:14" x14ac:dyDescent="0.3">
      <c r="A168">
        <f t="shared" ca="1" si="15"/>
        <v>3</v>
      </c>
      <c r="C168">
        <f ca="1">COUNTIF(A$2:A168,1)</f>
        <v>18</v>
      </c>
      <c r="D168">
        <f ca="1">COUNTIF($A$2:$A168,2)</f>
        <v>31</v>
      </c>
      <c r="E168">
        <f ca="1">COUNTIF($A$2:$A168,3)</f>
        <v>31</v>
      </c>
      <c r="F168">
        <f ca="1">COUNTIF($A$2:$A168,4)</f>
        <v>27</v>
      </c>
      <c r="G168">
        <f ca="1">COUNTIF($A$2:$A168,5)</f>
        <v>33</v>
      </c>
      <c r="H168">
        <f ca="1">COUNTIF($A$2:$A168,6)</f>
        <v>27</v>
      </c>
      <c r="I168">
        <f t="shared" ca="1" si="16"/>
        <v>10.778443113772456</v>
      </c>
      <c r="J168">
        <f t="shared" ca="1" si="17"/>
        <v>18.562874251497004</v>
      </c>
      <c r="K168">
        <f t="shared" ca="1" si="18"/>
        <v>18.562874251497004</v>
      </c>
      <c r="L168">
        <f t="shared" ca="1" si="19"/>
        <v>16.167664670658681</v>
      </c>
      <c r="M168">
        <f t="shared" ca="1" si="20"/>
        <v>19.760479041916167</v>
      </c>
      <c r="N168">
        <f t="shared" ca="1" si="21"/>
        <v>16.167664670658681</v>
      </c>
    </row>
    <row r="169" spans="1:14" x14ac:dyDescent="0.3">
      <c r="A169">
        <f t="shared" ca="1" si="15"/>
        <v>2</v>
      </c>
      <c r="C169">
        <f ca="1">COUNTIF(A$2:A169,1)</f>
        <v>18</v>
      </c>
      <c r="D169">
        <f ca="1">COUNTIF($A$2:$A169,2)</f>
        <v>32</v>
      </c>
      <c r="E169">
        <f ca="1">COUNTIF($A$2:$A169,3)</f>
        <v>31</v>
      </c>
      <c r="F169">
        <f ca="1">COUNTIF($A$2:$A169,4)</f>
        <v>27</v>
      </c>
      <c r="G169">
        <f ca="1">COUNTIF($A$2:$A169,5)</f>
        <v>33</v>
      </c>
      <c r="H169">
        <f ca="1">COUNTIF($A$2:$A169,6)</f>
        <v>27</v>
      </c>
      <c r="I169">
        <f t="shared" ca="1" si="16"/>
        <v>10.714285714285714</v>
      </c>
      <c r="J169">
        <f t="shared" ca="1" si="17"/>
        <v>19.047619047619047</v>
      </c>
      <c r="K169">
        <f t="shared" ca="1" si="18"/>
        <v>18.452380952380953</v>
      </c>
      <c r="L169">
        <f t="shared" ca="1" si="19"/>
        <v>16.071428571428573</v>
      </c>
      <c r="M169">
        <f t="shared" ca="1" si="20"/>
        <v>19.642857142857142</v>
      </c>
      <c r="N169">
        <f t="shared" ca="1" si="21"/>
        <v>16.071428571428573</v>
      </c>
    </row>
    <row r="170" spans="1:14" x14ac:dyDescent="0.3">
      <c r="A170">
        <f t="shared" ca="1" si="15"/>
        <v>2</v>
      </c>
      <c r="C170">
        <f ca="1">COUNTIF(A$2:A170,1)</f>
        <v>18</v>
      </c>
      <c r="D170">
        <f ca="1">COUNTIF($A$2:$A170,2)</f>
        <v>33</v>
      </c>
      <c r="E170">
        <f ca="1">COUNTIF($A$2:$A170,3)</f>
        <v>31</v>
      </c>
      <c r="F170">
        <f ca="1">COUNTIF($A$2:$A170,4)</f>
        <v>27</v>
      </c>
      <c r="G170">
        <f ca="1">COUNTIF($A$2:$A170,5)</f>
        <v>33</v>
      </c>
      <c r="H170">
        <f ca="1">COUNTIF($A$2:$A170,6)</f>
        <v>27</v>
      </c>
      <c r="I170">
        <f t="shared" ca="1" si="16"/>
        <v>10.650887573964498</v>
      </c>
      <c r="J170">
        <f t="shared" ca="1" si="17"/>
        <v>19.526627218934912</v>
      </c>
      <c r="K170">
        <f t="shared" ca="1" si="18"/>
        <v>18.34319526627219</v>
      </c>
      <c r="L170">
        <f t="shared" ca="1" si="19"/>
        <v>15.976331360946746</v>
      </c>
      <c r="M170">
        <f t="shared" ca="1" si="20"/>
        <v>19.526627218934912</v>
      </c>
      <c r="N170">
        <f t="shared" ca="1" si="21"/>
        <v>15.976331360946746</v>
      </c>
    </row>
    <row r="171" spans="1:14" x14ac:dyDescent="0.3">
      <c r="A171">
        <f t="shared" ca="1" si="15"/>
        <v>6</v>
      </c>
      <c r="C171">
        <f ca="1">COUNTIF(A$2:A171,1)</f>
        <v>18</v>
      </c>
      <c r="D171">
        <f ca="1">COUNTIF($A$2:$A171,2)</f>
        <v>33</v>
      </c>
      <c r="E171">
        <f ca="1">COUNTIF($A$2:$A171,3)</f>
        <v>31</v>
      </c>
      <c r="F171">
        <f ca="1">COUNTIF($A$2:$A171,4)</f>
        <v>27</v>
      </c>
      <c r="G171">
        <f ca="1">COUNTIF($A$2:$A171,5)</f>
        <v>33</v>
      </c>
      <c r="H171">
        <f ca="1">COUNTIF($A$2:$A171,6)</f>
        <v>28</v>
      </c>
      <c r="I171">
        <f t="shared" ca="1" si="16"/>
        <v>10.588235294117647</v>
      </c>
      <c r="J171">
        <f t="shared" ca="1" si="17"/>
        <v>19.411764705882355</v>
      </c>
      <c r="K171">
        <f t="shared" ca="1" si="18"/>
        <v>18.235294117647058</v>
      </c>
      <c r="L171">
        <f t="shared" ca="1" si="19"/>
        <v>15.882352941176469</v>
      </c>
      <c r="M171">
        <f t="shared" ca="1" si="20"/>
        <v>19.411764705882355</v>
      </c>
      <c r="N171">
        <f t="shared" ca="1" si="21"/>
        <v>16.470588235294116</v>
      </c>
    </row>
    <row r="172" spans="1:14" x14ac:dyDescent="0.3">
      <c r="A172">
        <f t="shared" ca="1" si="15"/>
        <v>2</v>
      </c>
      <c r="C172">
        <f ca="1">COUNTIF(A$2:A172,1)</f>
        <v>18</v>
      </c>
      <c r="D172">
        <f ca="1">COUNTIF($A$2:$A172,2)</f>
        <v>34</v>
      </c>
      <c r="E172">
        <f ca="1">COUNTIF($A$2:$A172,3)</f>
        <v>31</v>
      </c>
      <c r="F172">
        <f ca="1">COUNTIF($A$2:$A172,4)</f>
        <v>27</v>
      </c>
      <c r="G172">
        <f ca="1">COUNTIF($A$2:$A172,5)</f>
        <v>33</v>
      </c>
      <c r="H172">
        <f ca="1">COUNTIF($A$2:$A172,6)</f>
        <v>28</v>
      </c>
      <c r="I172">
        <f t="shared" ca="1" si="16"/>
        <v>10.526315789473683</v>
      </c>
      <c r="J172">
        <f t="shared" ca="1" si="17"/>
        <v>19.883040935672515</v>
      </c>
      <c r="K172">
        <f t="shared" ca="1" si="18"/>
        <v>18.128654970760234</v>
      </c>
      <c r="L172">
        <f t="shared" ca="1" si="19"/>
        <v>15.789473684210526</v>
      </c>
      <c r="M172">
        <f t="shared" ca="1" si="20"/>
        <v>19.298245614035086</v>
      </c>
      <c r="N172">
        <f t="shared" ca="1" si="21"/>
        <v>16.374269005847953</v>
      </c>
    </row>
    <row r="173" spans="1:14" x14ac:dyDescent="0.3">
      <c r="A173">
        <f t="shared" ca="1" si="15"/>
        <v>3</v>
      </c>
      <c r="C173">
        <f ca="1">COUNTIF(A$2:A173,1)</f>
        <v>18</v>
      </c>
      <c r="D173">
        <f ca="1">COUNTIF($A$2:$A173,2)</f>
        <v>34</v>
      </c>
      <c r="E173">
        <f ca="1">COUNTIF($A$2:$A173,3)</f>
        <v>32</v>
      </c>
      <c r="F173">
        <f ca="1">COUNTIF($A$2:$A173,4)</f>
        <v>27</v>
      </c>
      <c r="G173">
        <f ca="1">COUNTIF($A$2:$A173,5)</f>
        <v>33</v>
      </c>
      <c r="H173">
        <f ca="1">COUNTIF($A$2:$A173,6)</f>
        <v>28</v>
      </c>
      <c r="I173">
        <f t="shared" ca="1" si="16"/>
        <v>10.465116279069768</v>
      </c>
      <c r="J173">
        <f t="shared" ca="1" si="17"/>
        <v>19.767441860465116</v>
      </c>
      <c r="K173">
        <f t="shared" ca="1" si="18"/>
        <v>18.604651162790699</v>
      </c>
      <c r="L173">
        <f t="shared" ca="1" si="19"/>
        <v>15.697674418604651</v>
      </c>
      <c r="M173">
        <f t="shared" ca="1" si="20"/>
        <v>19.186046511627907</v>
      </c>
      <c r="N173">
        <f t="shared" ca="1" si="21"/>
        <v>16.279069767441861</v>
      </c>
    </row>
    <row r="174" spans="1:14" x14ac:dyDescent="0.3">
      <c r="A174">
        <f t="shared" ca="1" si="15"/>
        <v>6</v>
      </c>
      <c r="C174">
        <f ca="1">COUNTIF(A$2:A174,1)</f>
        <v>18</v>
      </c>
      <c r="D174">
        <f ca="1">COUNTIF($A$2:$A174,2)</f>
        <v>34</v>
      </c>
      <c r="E174">
        <f ca="1">COUNTIF($A$2:$A174,3)</f>
        <v>32</v>
      </c>
      <c r="F174">
        <f ca="1">COUNTIF($A$2:$A174,4)</f>
        <v>27</v>
      </c>
      <c r="G174">
        <f ca="1">COUNTIF($A$2:$A174,5)</f>
        <v>33</v>
      </c>
      <c r="H174">
        <f ca="1">COUNTIF($A$2:$A174,6)</f>
        <v>29</v>
      </c>
      <c r="I174">
        <f t="shared" ca="1" si="16"/>
        <v>10.404624277456648</v>
      </c>
      <c r="J174">
        <f t="shared" ca="1" si="17"/>
        <v>19.653179190751445</v>
      </c>
      <c r="K174">
        <f t="shared" ca="1" si="18"/>
        <v>18.497109826589593</v>
      </c>
      <c r="L174">
        <f t="shared" ca="1" si="19"/>
        <v>15.606936416184972</v>
      </c>
      <c r="M174">
        <f t="shared" ca="1" si="20"/>
        <v>19.075144508670519</v>
      </c>
      <c r="N174">
        <f t="shared" ca="1" si="21"/>
        <v>16.76300578034682</v>
      </c>
    </row>
    <row r="175" spans="1:14" x14ac:dyDescent="0.3">
      <c r="A175">
        <f t="shared" ca="1" si="15"/>
        <v>3</v>
      </c>
      <c r="C175">
        <f ca="1">COUNTIF(A$2:A175,1)</f>
        <v>18</v>
      </c>
      <c r="D175">
        <f ca="1">COUNTIF($A$2:$A175,2)</f>
        <v>34</v>
      </c>
      <c r="E175">
        <f ca="1">COUNTIF($A$2:$A175,3)</f>
        <v>33</v>
      </c>
      <c r="F175">
        <f ca="1">COUNTIF($A$2:$A175,4)</f>
        <v>27</v>
      </c>
      <c r="G175">
        <f ca="1">COUNTIF($A$2:$A175,5)</f>
        <v>33</v>
      </c>
      <c r="H175">
        <f ca="1">COUNTIF($A$2:$A175,6)</f>
        <v>29</v>
      </c>
      <c r="I175">
        <f t="shared" ca="1" si="16"/>
        <v>10.344827586206897</v>
      </c>
      <c r="J175">
        <f t="shared" ca="1" si="17"/>
        <v>19.540229885057471</v>
      </c>
      <c r="K175">
        <f t="shared" ca="1" si="18"/>
        <v>18.96551724137931</v>
      </c>
      <c r="L175">
        <f t="shared" ca="1" si="19"/>
        <v>15.517241379310345</v>
      </c>
      <c r="M175">
        <f t="shared" ca="1" si="20"/>
        <v>18.96551724137931</v>
      </c>
      <c r="N175">
        <f t="shared" ca="1" si="21"/>
        <v>16.666666666666664</v>
      </c>
    </row>
    <row r="176" spans="1:14" x14ac:dyDescent="0.3">
      <c r="A176">
        <f t="shared" ca="1" si="15"/>
        <v>1</v>
      </c>
      <c r="C176">
        <f ca="1">COUNTIF(A$2:A176,1)</f>
        <v>19</v>
      </c>
      <c r="D176">
        <f ca="1">COUNTIF($A$2:$A176,2)</f>
        <v>34</v>
      </c>
      <c r="E176">
        <f ca="1">COUNTIF($A$2:$A176,3)</f>
        <v>33</v>
      </c>
      <c r="F176">
        <f ca="1">COUNTIF($A$2:$A176,4)</f>
        <v>27</v>
      </c>
      <c r="G176">
        <f ca="1">COUNTIF($A$2:$A176,5)</f>
        <v>33</v>
      </c>
      <c r="H176">
        <f ca="1">COUNTIF($A$2:$A176,6)</f>
        <v>29</v>
      </c>
      <c r="I176">
        <f t="shared" ca="1" si="16"/>
        <v>10.857142857142858</v>
      </c>
      <c r="J176">
        <f t="shared" ca="1" si="17"/>
        <v>19.428571428571427</v>
      </c>
      <c r="K176">
        <f t="shared" ca="1" si="18"/>
        <v>18.857142857142858</v>
      </c>
      <c r="L176">
        <f t="shared" ca="1" si="19"/>
        <v>15.428571428571427</v>
      </c>
      <c r="M176">
        <f t="shared" ca="1" si="20"/>
        <v>18.857142857142858</v>
      </c>
      <c r="N176">
        <f t="shared" ca="1" si="21"/>
        <v>16.571428571428569</v>
      </c>
    </row>
    <row r="177" spans="1:14" x14ac:dyDescent="0.3">
      <c r="A177">
        <f t="shared" ca="1" si="15"/>
        <v>6</v>
      </c>
      <c r="C177">
        <f ca="1">COUNTIF(A$2:A177,1)</f>
        <v>19</v>
      </c>
      <c r="D177">
        <f ca="1">COUNTIF($A$2:$A177,2)</f>
        <v>34</v>
      </c>
      <c r="E177">
        <f ca="1">COUNTIF($A$2:$A177,3)</f>
        <v>33</v>
      </c>
      <c r="F177">
        <f ca="1">COUNTIF($A$2:$A177,4)</f>
        <v>27</v>
      </c>
      <c r="G177">
        <f ca="1">COUNTIF($A$2:$A177,5)</f>
        <v>33</v>
      </c>
      <c r="H177">
        <f ca="1">COUNTIF($A$2:$A177,6)</f>
        <v>30</v>
      </c>
      <c r="I177">
        <f t="shared" ca="1" si="16"/>
        <v>10.795454545454545</v>
      </c>
      <c r="J177">
        <f t="shared" ca="1" si="17"/>
        <v>19.318181818181817</v>
      </c>
      <c r="K177">
        <f t="shared" ca="1" si="18"/>
        <v>18.75</v>
      </c>
      <c r="L177">
        <f t="shared" ca="1" si="19"/>
        <v>15.340909090909092</v>
      </c>
      <c r="M177">
        <f t="shared" ca="1" si="20"/>
        <v>18.75</v>
      </c>
      <c r="N177">
        <f t="shared" ca="1" si="21"/>
        <v>17.045454545454543</v>
      </c>
    </row>
    <row r="178" spans="1:14" x14ac:dyDescent="0.3">
      <c r="A178">
        <f t="shared" ca="1" si="15"/>
        <v>1</v>
      </c>
      <c r="C178">
        <f ca="1">COUNTIF(A$2:A178,1)</f>
        <v>20</v>
      </c>
      <c r="D178">
        <f ca="1">COUNTIF($A$2:$A178,2)</f>
        <v>34</v>
      </c>
      <c r="E178">
        <f ca="1">COUNTIF($A$2:$A178,3)</f>
        <v>33</v>
      </c>
      <c r="F178">
        <f ca="1">COUNTIF($A$2:$A178,4)</f>
        <v>27</v>
      </c>
      <c r="G178">
        <f ca="1">COUNTIF($A$2:$A178,5)</f>
        <v>33</v>
      </c>
      <c r="H178">
        <f ca="1">COUNTIF($A$2:$A178,6)</f>
        <v>30</v>
      </c>
      <c r="I178">
        <f t="shared" ca="1" si="16"/>
        <v>11.299435028248588</v>
      </c>
      <c r="J178">
        <f t="shared" ca="1" si="17"/>
        <v>19.209039548022599</v>
      </c>
      <c r="K178">
        <f t="shared" ca="1" si="18"/>
        <v>18.64406779661017</v>
      </c>
      <c r="L178">
        <f t="shared" ca="1" si="19"/>
        <v>15.254237288135593</v>
      </c>
      <c r="M178">
        <f t="shared" ca="1" si="20"/>
        <v>18.64406779661017</v>
      </c>
      <c r="N178">
        <f t="shared" ca="1" si="21"/>
        <v>16.949152542372879</v>
      </c>
    </row>
    <row r="179" spans="1:14" x14ac:dyDescent="0.3">
      <c r="A179">
        <f t="shared" ca="1" si="15"/>
        <v>3</v>
      </c>
      <c r="C179">
        <f ca="1">COUNTIF(A$2:A179,1)</f>
        <v>20</v>
      </c>
      <c r="D179">
        <f ca="1">COUNTIF($A$2:$A179,2)</f>
        <v>34</v>
      </c>
      <c r="E179">
        <f ca="1">COUNTIF($A$2:$A179,3)</f>
        <v>34</v>
      </c>
      <c r="F179">
        <f ca="1">COUNTIF($A$2:$A179,4)</f>
        <v>27</v>
      </c>
      <c r="G179">
        <f ca="1">COUNTIF($A$2:$A179,5)</f>
        <v>33</v>
      </c>
      <c r="H179">
        <f ca="1">COUNTIF($A$2:$A179,6)</f>
        <v>30</v>
      </c>
      <c r="I179">
        <f t="shared" ca="1" si="16"/>
        <v>11.235955056179774</v>
      </c>
      <c r="J179">
        <f t="shared" ca="1" si="17"/>
        <v>19.101123595505616</v>
      </c>
      <c r="K179">
        <f t="shared" ca="1" si="18"/>
        <v>19.101123595505616</v>
      </c>
      <c r="L179">
        <f t="shared" ca="1" si="19"/>
        <v>15.168539325842698</v>
      </c>
      <c r="M179">
        <f t="shared" ca="1" si="20"/>
        <v>18.539325842696631</v>
      </c>
      <c r="N179">
        <f t="shared" ca="1" si="21"/>
        <v>16.853932584269664</v>
      </c>
    </row>
    <row r="180" spans="1:14" x14ac:dyDescent="0.3">
      <c r="A180">
        <f t="shared" ca="1" si="15"/>
        <v>4</v>
      </c>
      <c r="C180">
        <f ca="1">COUNTIF(A$2:A180,1)</f>
        <v>20</v>
      </c>
      <c r="D180">
        <f ca="1">COUNTIF($A$2:$A180,2)</f>
        <v>34</v>
      </c>
      <c r="E180">
        <f ca="1">COUNTIF($A$2:$A180,3)</f>
        <v>34</v>
      </c>
      <c r="F180">
        <f ca="1">COUNTIF($A$2:$A180,4)</f>
        <v>28</v>
      </c>
      <c r="G180">
        <f ca="1">COUNTIF($A$2:$A180,5)</f>
        <v>33</v>
      </c>
      <c r="H180">
        <f ca="1">COUNTIF($A$2:$A180,6)</f>
        <v>30</v>
      </c>
      <c r="I180">
        <f t="shared" ca="1" si="16"/>
        <v>11.173184357541899</v>
      </c>
      <c r="J180">
        <f t="shared" ca="1" si="17"/>
        <v>18.994413407821227</v>
      </c>
      <c r="K180">
        <f t="shared" ca="1" si="18"/>
        <v>18.994413407821227</v>
      </c>
      <c r="L180">
        <f t="shared" ca="1" si="19"/>
        <v>15.64245810055866</v>
      </c>
      <c r="M180">
        <f t="shared" ca="1" si="20"/>
        <v>18.435754189944134</v>
      </c>
      <c r="N180">
        <f t="shared" ca="1" si="21"/>
        <v>16.759776536312849</v>
      </c>
    </row>
    <row r="181" spans="1:14" x14ac:dyDescent="0.3">
      <c r="A181">
        <f t="shared" ca="1" si="15"/>
        <v>5</v>
      </c>
      <c r="C181">
        <f ca="1">COUNTIF(A$2:A181,1)</f>
        <v>20</v>
      </c>
      <c r="D181">
        <f ca="1">COUNTIF($A$2:$A181,2)</f>
        <v>34</v>
      </c>
      <c r="E181">
        <f ca="1">COUNTIF($A$2:$A181,3)</f>
        <v>34</v>
      </c>
      <c r="F181">
        <f ca="1">COUNTIF($A$2:$A181,4)</f>
        <v>28</v>
      </c>
      <c r="G181">
        <f ca="1">COUNTIF($A$2:$A181,5)</f>
        <v>34</v>
      </c>
      <c r="H181">
        <f ca="1">COUNTIF($A$2:$A181,6)</f>
        <v>30</v>
      </c>
      <c r="I181">
        <f t="shared" ca="1" si="16"/>
        <v>11.111111111111111</v>
      </c>
      <c r="J181">
        <f t="shared" ca="1" si="17"/>
        <v>18.888888888888889</v>
      </c>
      <c r="K181">
        <f t="shared" ca="1" si="18"/>
        <v>18.888888888888889</v>
      </c>
      <c r="L181">
        <f t="shared" ca="1" si="19"/>
        <v>15.555555555555555</v>
      </c>
      <c r="M181">
        <f t="shared" ca="1" si="20"/>
        <v>18.888888888888889</v>
      </c>
      <c r="N181">
        <f t="shared" ca="1" si="21"/>
        <v>16.666666666666664</v>
      </c>
    </row>
    <row r="182" spans="1:14" x14ac:dyDescent="0.3">
      <c r="A182">
        <f t="shared" ca="1" si="15"/>
        <v>4</v>
      </c>
      <c r="C182">
        <f ca="1">COUNTIF(A$2:A182,1)</f>
        <v>20</v>
      </c>
      <c r="D182">
        <f ca="1">COUNTIF($A$2:$A182,2)</f>
        <v>34</v>
      </c>
      <c r="E182">
        <f ca="1">COUNTIF($A$2:$A182,3)</f>
        <v>34</v>
      </c>
      <c r="F182">
        <f ca="1">COUNTIF($A$2:$A182,4)</f>
        <v>29</v>
      </c>
      <c r="G182">
        <f ca="1">COUNTIF($A$2:$A182,5)</f>
        <v>34</v>
      </c>
      <c r="H182">
        <f ca="1">COUNTIF($A$2:$A182,6)</f>
        <v>30</v>
      </c>
      <c r="I182">
        <f t="shared" ca="1" si="16"/>
        <v>11.049723756906078</v>
      </c>
      <c r="J182">
        <f t="shared" ca="1" si="17"/>
        <v>18.784530386740332</v>
      </c>
      <c r="K182">
        <f t="shared" ca="1" si="18"/>
        <v>18.784530386740332</v>
      </c>
      <c r="L182">
        <f t="shared" ca="1" si="19"/>
        <v>16.022099447513813</v>
      </c>
      <c r="M182">
        <f t="shared" ca="1" si="20"/>
        <v>18.784530386740332</v>
      </c>
      <c r="N182">
        <f t="shared" ca="1" si="21"/>
        <v>16.574585635359114</v>
      </c>
    </row>
    <row r="183" spans="1:14" x14ac:dyDescent="0.3">
      <c r="A183">
        <f t="shared" ca="1" si="15"/>
        <v>2</v>
      </c>
      <c r="C183">
        <f ca="1">COUNTIF(A$2:A183,1)</f>
        <v>20</v>
      </c>
      <c r="D183">
        <f ca="1">COUNTIF($A$2:$A183,2)</f>
        <v>35</v>
      </c>
      <c r="E183">
        <f ca="1">COUNTIF($A$2:$A183,3)</f>
        <v>34</v>
      </c>
      <c r="F183">
        <f ca="1">COUNTIF($A$2:$A183,4)</f>
        <v>29</v>
      </c>
      <c r="G183">
        <f ca="1">COUNTIF($A$2:$A183,5)</f>
        <v>34</v>
      </c>
      <c r="H183">
        <f ca="1">COUNTIF($A$2:$A183,6)</f>
        <v>30</v>
      </c>
      <c r="I183">
        <f t="shared" ca="1" si="16"/>
        <v>10.989010989010989</v>
      </c>
      <c r="J183">
        <f t="shared" ca="1" si="17"/>
        <v>19.230769230769234</v>
      </c>
      <c r="K183">
        <f t="shared" ca="1" si="18"/>
        <v>18.681318681318682</v>
      </c>
      <c r="L183">
        <f t="shared" ca="1" si="19"/>
        <v>15.934065934065933</v>
      </c>
      <c r="M183">
        <f t="shared" ca="1" si="20"/>
        <v>18.681318681318682</v>
      </c>
      <c r="N183">
        <f t="shared" ca="1" si="21"/>
        <v>16.483516483516482</v>
      </c>
    </row>
    <row r="184" spans="1:14" x14ac:dyDescent="0.3">
      <c r="A184">
        <f t="shared" ca="1" si="15"/>
        <v>5</v>
      </c>
      <c r="C184">
        <f ca="1">COUNTIF(A$2:A184,1)</f>
        <v>20</v>
      </c>
      <c r="D184">
        <f ca="1">COUNTIF($A$2:$A184,2)</f>
        <v>35</v>
      </c>
      <c r="E184">
        <f ca="1">COUNTIF($A$2:$A184,3)</f>
        <v>34</v>
      </c>
      <c r="F184">
        <f ca="1">COUNTIF($A$2:$A184,4)</f>
        <v>29</v>
      </c>
      <c r="G184">
        <f ca="1">COUNTIF($A$2:$A184,5)</f>
        <v>35</v>
      </c>
      <c r="H184">
        <f ca="1">COUNTIF($A$2:$A184,6)</f>
        <v>30</v>
      </c>
      <c r="I184">
        <f t="shared" ca="1" si="16"/>
        <v>10.928961748633879</v>
      </c>
      <c r="J184">
        <f t="shared" ca="1" si="17"/>
        <v>19.125683060109289</v>
      </c>
      <c r="K184">
        <f t="shared" ca="1" si="18"/>
        <v>18.579234972677597</v>
      </c>
      <c r="L184">
        <f t="shared" ca="1" si="19"/>
        <v>15.846994535519126</v>
      </c>
      <c r="M184">
        <f t="shared" ca="1" si="20"/>
        <v>19.125683060109289</v>
      </c>
      <c r="N184">
        <f t="shared" ca="1" si="21"/>
        <v>16.393442622950818</v>
      </c>
    </row>
    <row r="185" spans="1:14" x14ac:dyDescent="0.3">
      <c r="A185">
        <f t="shared" ca="1" si="15"/>
        <v>2</v>
      </c>
      <c r="C185">
        <f ca="1">COUNTIF(A$2:A185,1)</f>
        <v>20</v>
      </c>
      <c r="D185">
        <f ca="1">COUNTIF($A$2:$A185,2)</f>
        <v>36</v>
      </c>
      <c r="E185">
        <f ca="1">COUNTIF($A$2:$A185,3)</f>
        <v>34</v>
      </c>
      <c r="F185">
        <f ca="1">COUNTIF($A$2:$A185,4)</f>
        <v>29</v>
      </c>
      <c r="G185">
        <f ca="1">COUNTIF($A$2:$A185,5)</f>
        <v>35</v>
      </c>
      <c r="H185">
        <f ca="1">COUNTIF($A$2:$A185,6)</f>
        <v>30</v>
      </c>
      <c r="I185">
        <f t="shared" ca="1" si="16"/>
        <v>10.869565217391305</v>
      </c>
      <c r="J185">
        <f t="shared" ca="1" si="17"/>
        <v>19.565217391304348</v>
      </c>
      <c r="K185">
        <f t="shared" ca="1" si="18"/>
        <v>18.478260869565215</v>
      </c>
      <c r="L185">
        <f t="shared" ca="1" si="19"/>
        <v>15.760869565217392</v>
      </c>
      <c r="M185">
        <f t="shared" ca="1" si="20"/>
        <v>19.021739130434785</v>
      </c>
      <c r="N185">
        <f t="shared" ca="1" si="21"/>
        <v>16.304347826086957</v>
      </c>
    </row>
    <row r="186" spans="1:14" x14ac:dyDescent="0.3">
      <c r="A186">
        <f t="shared" ca="1" si="15"/>
        <v>1</v>
      </c>
      <c r="C186">
        <f ca="1">COUNTIF(A$2:A186,1)</f>
        <v>21</v>
      </c>
      <c r="D186">
        <f ca="1">COUNTIF($A$2:$A186,2)</f>
        <v>36</v>
      </c>
      <c r="E186">
        <f ca="1">COUNTIF($A$2:$A186,3)</f>
        <v>34</v>
      </c>
      <c r="F186">
        <f ca="1">COUNTIF($A$2:$A186,4)</f>
        <v>29</v>
      </c>
      <c r="G186">
        <f ca="1">COUNTIF($A$2:$A186,5)</f>
        <v>35</v>
      </c>
      <c r="H186">
        <f ca="1">COUNTIF($A$2:$A186,6)</f>
        <v>30</v>
      </c>
      <c r="I186">
        <f t="shared" ca="1" si="16"/>
        <v>11.351351351351353</v>
      </c>
      <c r="J186">
        <f t="shared" ca="1" si="17"/>
        <v>19.45945945945946</v>
      </c>
      <c r="K186">
        <f t="shared" ca="1" si="18"/>
        <v>18.378378378378379</v>
      </c>
      <c r="L186">
        <f t="shared" ca="1" si="19"/>
        <v>15.675675675675677</v>
      </c>
      <c r="M186">
        <f t="shared" ca="1" si="20"/>
        <v>18.918918918918919</v>
      </c>
      <c r="N186">
        <f t="shared" ca="1" si="21"/>
        <v>16.216216216216218</v>
      </c>
    </row>
    <row r="187" spans="1:14" x14ac:dyDescent="0.3">
      <c r="A187">
        <f t="shared" ca="1" si="15"/>
        <v>1</v>
      </c>
      <c r="C187">
        <f ca="1">COUNTIF(A$2:A187,1)</f>
        <v>22</v>
      </c>
      <c r="D187">
        <f ca="1">COUNTIF($A$2:$A187,2)</f>
        <v>36</v>
      </c>
      <c r="E187">
        <f ca="1">COUNTIF($A$2:$A187,3)</f>
        <v>34</v>
      </c>
      <c r="F187">
        <f ca="1">COUNTIF($A$2:$A187,4)</f>
        <v>29</v>
      </c>
      <c r="G187">
        <f ca="1">COUNTIF($A$2:$A187,5)</f>
        <v>35</v>
      </c>
      <c r="H187">
        <f ca="1">COUNTIF($A$2:$A187,6)</f>
        <v>30</v>
      </c>
      <c r="I187">
        <f t="shared" ca="1" si="16"/>
        <v>11.827956989247312</v>
      </c>
      <c r="J187">
        <f t="shared" ca="1" si="17"/>
        <v>19.35483870967742</v>
      </c>
      <c r="K187">
        <f t="shared" ca="1" si="18"/>
        <v>18.27956989247312</v>
      </c>
      <c r="L187">
        <f t="shared" ca="1" si="19"/>
        <v>15.591397849462366</v>
      </c>
      <c r="M187">
        <f t="shared" ca="1" si="20"/>
        <v>18.817204301075268</v>
      </c>
      <c r="N187">
        <f t="shared" ca="1" si="21"/>
        <v>16.129032258064516</v>
      </c>
    </row>
    <row r="188" spans="1:14" x14ac:dyDescent="0.3">
      <c r="A188">
        <f t="shared" ca="1" si="15"/>
        <v>3</v>
      </c>
      <c r="C188">
        <f ca="1">COUNTIF(A$2:A188,1)</f>
        <v>22</v>
      </c>
      <c r="D188">
        <f ca="1">COUNTIF($A$2:$A188,2)</f>
        <v>36</v>
      </c>
      <c r="E188">
        <f ca="1">COUNTIF($A$2:$A188,3)</f>
        <v>35</v>
      </c>
      <c r="F188">
        <f ca="1">COUNTIF($A$2:$A188,4)</f>
        <v>29</v>
      </c>
      <c r="G188">
        <f ca="1">COUNTIF($A$2:$A188,5)</f>
        <v>35</v>
      </c>
      <c r="H188">
        <f ca="1">COUNTIF($A$2:$A188,6)</f>
        <v>30</v>
      </c>
      <c r="I188">
        <f t="shared" ca="1" si="16"/>
        <v>11.76470588235294</v>
      </c>
      <c r="J188">
        <f t="shared" ca="1" si="17"/>
        <v>19.251336898395721</v>
      </c>
      <c r="K188">
        <f t="shared" ca="1" si="18"/>
        <v>18.71657754010695</v>
      </c>
      <c r="L188">
        <f t="shared" ca="1" si="19"/>
        <v>15.508021390374333</v>
      </c>
      <c r="M188">
        <f t="shared" ca="1" si="20"/>
        <v>18.71657754010695</v>
      </c>
      <c r="N188">
        <f t="shared" ca="1" si="21"/>
        <v>16.042780748663102</v>
      </c>
    </row>
    <row r="189" spans="1:14" x14ac:dyDescent="0.3">
      <c r="A189">
        <f t="shared" ca="1" si="15"/>
        <v>2</v>
      </c>
      <c r="C189">
        <f ca="1">COUNTIF(A$2:A189,1)</f>
        <v>22</v>
      </c>
      <c r="D189">
        <f ca="1">COUNTIF($A$2:$A189,2)</f>
        <v>37</v>
      </c>
      <c r="E189">
        <f ca="1">COUNTIF($A$2:$A189,3)</f>
        <v>35</v>
      </c>
      <c r="F189">
        <f ca="1">COUNTIF($A$2:$A189,4)</f>
        <v>29</v>
      </c>
      <c r="G189">
        <f ca="1">COUNTIF($A$2:$A189,5)</f>
        <v>35</v>
      </c>
      <c r="H189">
        <f ca="1">COUNTIF($A$2:$A189,6)</f>
        <v>30</v>
      </c>
      <c r="I189">
        <f t="shared" ca="1" si="16"/>
        <v>11.702127659574469</v>
      </c>
      <c r="J189">
        <f t="shared" ca="1" si="17"/>
        <v>19.680851063829788</v>
      </c>
      <c r="K189">
        <f t="shared" ca="1" si="18"/>
        <v>18.617021276595743</v>
      </c>
      <c r="L189">
        <f t="shared" ca="1" si="19"/>
        <v>15.425531914893616</v>
      </c>
      <c r="M189">
        <f t="shared" ca="1" si="20"/>
        <v>18.617021276595743</v>
      </c>
      <c r="N189">
        <f t="shared" ca="1" si="21"/>
        <v>15.957446808510639</v>
      </c>
    </row>
    <row r="190" spans="1:14" x14ac:dyDescent="0.3">
      <c r="A190">
        <f t="shared" ca="1" si="15"/>
        <v>1</v>
      </c>
      <c r="C190">
        <f ca="1">COUNTIF(A$2:A190,1)</f>
        <v>23</v>
      </c>
      <c r="D190">
        <f ca="1">COUNTIF($A$2:$A190,2)</f>
        <v>37</v>
      </c>
      <c r="E190">
        <f ca="1">COUNTIF($A$2:$A190,3)</f>
        <v>35</v>
      </c>
      <c r="F190">
        <f ca="1">COUNTIF($A$2:$A190,4)</f>
        <v>29</v>
      </c>
      <c r="G190">
        <f ca="1">COUNTIF($A$2:$A190,5)</f>
        <v>35</v>
      </c>
      <c r="H190">
        <f ca="1">COUNTIF($A$2:$A190,6)</f>
        <v>30</v>
      </c>
      <c r="I190">
        <f t="shared" ca="1" si="16"/>
        <v>12.169312169312169</v>
      </c>
      <c r="J190">
        <f t="shared" ca="1" si="17"/>
        <v>19.576719576719576</v>
      </c>
      <c r="K190">
        <f t="shared" ca="1" si="18"/>
        <v>18.518518518518519</v>
      </c>
      <c r="L190">
        <f t="shared" ca="1" si="19"/>
        <v>15.343915343915343</v>
      </c>
      <c r="M190">
        <f t="shared" ca="1" si="20"/>
        <v>18.518518518518519</v>
      </c>
      <c r="N190">
        <f t="shared" ca="1" si="21"/>
        <v>15.873015873015872</v>
      </c>
    </row>
    <row r="191" spans="1:14" x14ac:dyDescent="0.3">
      <c r="A191">
        <f t="shared" ca="1" si="15"/>
        <v>6</v>
      </c>
      <c r="C191">
        <f ca="1">COUNTIF(A$2:A191,1)</f>
        <v>23</v>
      </c>
      <c r="D191">
        <f ca="1">COUNTIF($A$2:$A191,2)</f>
        <v>37</v>
      </c>
      <c r="E191">
        <f ca="1">COUNTIF($A$2:$A191,3)</f>
        <v>35</v>
      </c>
      <c r="F191">
        <f ca="1">COUNTIF($A$2:$A191,4)</f>
        <v>29</v>
      </c>
      <c r="G191">
        <f ca="1">COUNTIF($A$2:$A191,5)</f>
        <v>35</v>
      </c>
      <c r="H191">
        <f ca="1">COUNTIF($A$2:$A191,6)</f>
        <v>31</v>
      </c>
      <c r="I191">
        <f t="shared" ca="1" si="16"/>
        <v>12.105263157894736</v>
      </c>
      <c r="J191">
        <f t="shared" ca="1" si="17"/>
        <v>19.473684210526315</v>
      </c>
      <c r="K191">
        <f t="shared" ca="1" si="18"/>
        <v>18.421052631578945</v>
      </c>
      <c r="L191">
        <f t="shared" ca="1" si="19"/>
        <v>15.263157894736842</v>
      </c>
      <c r="M191">
        <f t="shared" ca="1" si="20"/>
        <v>18.421052631578945</v>
      </c>
      <c r="N191">
        <f t="shared" ca="1" si="21"/>
        <v>16.315789473684212</v>
      </c>
    </row>
    <row r="192" spans="1:14" x14ac:dyDescent="0.3">
      <c r="A192">
        <f t="shared" ca="1" si="15"/>
        <v>5</v>
      </c>
      <c r="C192">
        <f ca="1">COUNTIF(A$2:A192,1)</f>
        <v>23</v>
      </c>
      <c r="D192">
        <f ca="1">COUNTIF($A$2:$A192,2)</f>
        <v>37</v>
      </c>
      <c r="E192">
        <f ca="1">COUNTIF($A$2:$A192,3)</f>
        <v>35</v>
      </c>
      <c r="F192">
        <f ca="1">COUNTIF($A$2:$A192,4)</f>
        <v>29</v>
      </c>
      <c r="G192">
        <f ca="1">COUNTIF($A$2:$A192,5)</f>
        <v>36</v>
      </c>
      <c r="H192">
        <f ca="1">COUNTIF($A$2:$A192,6)</f>
        <v>31</v>
      </c>
      <c r="I192">
        <f t="shared" ca="1" si="16"/>
        <v>12.041884816753926</v>
      </c>
      <c r="J192">
        <f t="shared" ca="1" si="17"/>
        <v>19.3717277486911</v>
      </c>
      <c r="K192">
        <f t="shared" ca="1" si="18"/>
        <v>18.32460732984293</v>
      </c>
      <c r="L192">
        <f t="shared" ca="1" si="19"/>
        <v>15.183246073298429</v>
      </c>
      <c r="M192">
        <f t="shared" ca="1" si="20"/>
        <v>18.848167539267017</v>
      </c>
      <c r="N192">
        <f t="shared" ca="1" si="21"/>
        <v>16.230366492146597</v>
      </c>
    </row>
    <row r="193" spans="1:14" x14ac:dyDescent="0.3">
      <c r="A193">
        <f t="shared" ca="1" si="15"/>
        <v>4</v>
      </c>
      <c r="C193">
        <f ca="1">COUNTIF(A$2:A193,1)</f>
        <v>23</v>
      </c>
      <c r="D193">
        <f ca="1">COUNTIF($A$2:$A193,2)</f>
        <v>37</v>
      </c>
      <c r="E193">
        <f ca="1">COUNTIF($A$2:$A193,3)</f>
        <v>35</v>
      </c>
      <c r="F193">
        <f ca="1">COUNTIF($A$2:$A193,4)</f>
        <v>30</v>
      </c>
      <c r="G193">
        <f ca="1">COUNTIF($A$2:$A193,5)</f>
        <v>36</v>
      </c>
      <c r="H193">
        <f ca="1">COUNTIF($A$2:$A193,6)</f>
        <v>31</v>
      </c>
      <c r="I193">
        <f t="shared" ca="1" si="16"/>
        <v>11.979166666666668</v>
      </c>
      <c r="J193">
        <f t="shared" ca="1" si="17"/>
        <v>19.270833333333336</v>
      </c>
      <c r="K193">
        <f t="shared" ca="1" si="18"/>
        <v>18.229166666666664</v>
      </c>
      <c r="L193">
        <f t="shared" ca="1" si="19"/>
        <v>15.625</v>
      </c>
      <c r="M193">
        <f t="shared" ca="1" si="20"/>
        <v>18.75</v>
      </c>
      <c r="N193">
        <f t="shared" ca="1" si="21"/>
        <v>16.145833333333336</v>
      </c>
    </row>
    <row r="194" spans="1:14" x14ac:dyDescent="0.3">
      <c r="A194">
        <f t="shared" ca="1" si="15"/>
        <v>1</v>
      </c>
      <c r="C194">
        <f ca="1">COUNTIF(A$2:A194,1)</f>
        <v>24</v>
      </c>
      <c r="D194">
        <f ca="1">COUNTIF($A$2:$A194,2)</f>
        <v>37</v>
      </c>
      <c r="E194">
        <f ca="1">COUNTIF($A$2:$A194,3)</f>
        <v>35</v>
      </c>
      <c r="F194">
        <f ca="1">COUNTIF($A$2:$A194,4)</f>
        <v>30</v>
      </c>
      <c r="G194">
        <f ca="1">COUNTIF($A$2:$A194,5)</f>
        <v>36</v>
      </c>
      <c r="H194">
        <f ca="1">COUNTIF($A$2:$A194,6)</f>
        <v>31</v>
      </c>
      <c r="I194">
        <f t="shared" ca="1" si="16"/>
        <v>12.435233160621761</v>
      </c>
      <c r="J194">
        <f t="shared" ca="1" si="17"/>
        <v>19.170984455958546</v>
      </c>
      <c r="K194">
        <f t="shared" ca="1" si="18"/>
        <v>18.134715025906736</v>
      </c>
      <c r="L194">
        <f t="shared" ca="1" si="19"/>
        <v>15.544041450777202</v>
      </c>
      <c r="M194">
        <f t="shared" ca="1" si="20"/>
        <v>18.652849740932641</v>
      </c>
      <c r="N194">
        <f t="shared" ca="1" si="21"/>
        <v>16.062176165803109</v>
      </c>
    </row>
    <row r="195" spans="1:14" x14ac:dyDescent="0.3">
      <c r="A195">
        <f t="shared" ref="A195:A258" ca="1" si="22">ROUNDDOWN(RAND()*6+1,0)</f>
        <v>6</v>
      </c>
      <c r="C195">
        <f ca="1">COUNTIF(A$2:A195,1)</f>
        <v>24</v>
      </c>
      <c r="D195">
        <f ca="1">COUNTIF($A$2:$A195,2)</f>
        <v>37</v>
      </c>
      <c r="E195">
        <f ca="1">COUNTIF($A$2:$A195,3)</f>
        <v>35</v>
      </c>
      <c r="F195">
        <f ca="1">COUNTIF($A$2:$A195,4)</f>
        <v>30</v>
      </c>
      <c r="G195">
        <f ca="1">COUNTIF($A$2:$A195,5)</f>
        <v>36</v>
      </c>
      <c r="H195">
        <f ca="1">COUNTIF($A$2:$A195,6)</f>
        <v>32</v>
      </c>
      <c r="I195">
        <f t="shared" ref="I195:I258" ca="1" si="23">C195/(SUM($C195:$H195))*100</f>
        <v>12.371134020618557</v>
      </c>
      <c r="J195">
        <f t="shared" ref="J195:J258" ca="1" si="24">D195/(SUM($C195:$H195))*100</f>
        <v>19.072164948453608</v>
      </c>
      <c r="K195">
        <f t="shared" ref="K195:K258" ca="1" si="25">E195/(SUM($C195:$H195))*100</f>
        <v>18.041237113402062</v>
      </c>
      <c r="L195">
        <f t="shared" ref="L195:L258" ca="1" si="26">F195/(SUM($C195:$H195))*100</f>
        <v>15.463917525773196</v>
      </c>
      <c r="M195">
        <f t="shared" ref="M195:M258" ca="1" si="27">G195/(SUM($C195:$H195))*100</f>
        <v>18.556701030927837</v>
      </c>
      <c r="N195">
        <f t="shared" ref="N195:N258" ca="1" si="28">H195/(SUM($C195:$H195))*100</f>
        <v>16.494845360824741</v>
      </c>
    </row>
    <row r="196" spans="1:14" x14ac:dyDescent="0.3">
      <c r="A196">
        <f t="shared" ca="1" si="22"/>
        <v>5</v>
      </c>
      <c r="C196">
        <f ca="1">COUNTIF(A$2:A196,1)</f>
        <v>24</v>
      </c>
      <c r="D196">
        <f ca="1">COUNTIF($A$2:$A196,2)</f>
        <v>37</v>
      </c>
      <c r="E196">
        <f ca="1">COUNTIF($A$2:$A196,3)</f>
        <v>35</v>
      </c>
      <c r="F196">
        <f ca="1">COUNTIF($A$2:$A196,4)</f>
        <v>30</v>
      </c>
      <c r="G196">
        <f ca="1">COUNTIF($A$2:$A196,5)</f>
        <v>37</v>
      </c>
      <c r="H196">
        <f ca="1">COUNTIF($A$2:$A196,6)</f>
        <v>32</v>
      </c>
      <c r="I196">
        <f t="shared" ca="1" si="23"/>
        <v>12.307692307692308</v>
      </c>
      <c r="J196">
        <f t="shared" ca="1" si="24"/>
        <v>18.974358974358974</v>
      </c>
      <c r="K196">
        <f t="shared" ca="1" si="25"/>
        <v>17.948717948717949</v>
      </c>
      <c r="L196">
        <f t="shared" ca="1" si="26"/>
        <v>15.384615384615385</v>
      </c>
      <c r="M196">
        <f t="shared" ca="1" si="27"/>
        <v>18.974358974358974</v>
      </c>
      <c r="N196">
        <f t="shared" ca="1" si="28"/>
        <v>16.410256410256409</v>
      </c>
    </row>
    <row r="197" spans="1:14" x14ac:dyDescent="0.3">
      <c r="A197">
        <f t="shared" ca="1" si="22"/>
        <v>2</v>
      </c>
      <c r="C197">
        <f ca="1">COUNTIF(A$2:A197,1)</f>
        <v>24</v>
      </c>
      <c r="D197">
        <f ca="1">COUNTIF($A$2:$A197,2)</f>
        <v>38</v>
      </c>
      <c r="E197">
        <f ca="1">COUNTIF($A$2:$A197,3)</f>
        <v>35</v>
      </c>
      <c r="F197">
        <f ca="1">COUNTIF($A$2:$A197,4)</f>
        <v>30</v>
      </c>
      <c r="G197">
        <f ca="1">COUNTIF($A$2:$A197,5)</f>
        <v>37</v>
      </c>
      <c r="H197">
        <f ca="1">COUNTIF($A$2:$A197,6)</f>
        <v>32</v>
      </c>
      <c r="I197">
        <f t="shared" ca="1" si="23"/>
        <v>12.244897959183673</v>
      </c>
      <c r="J197">
        <f t="shared" ca="1" si="24"/>
        <v>19.387755102040817</v>
      </c>
      <c r="K197">
        <f t="shared" ca="1" si="25"/>
        <v>17.857142857142858</v>
      </c>
      <c r="L197">
        <f t="shared" ca="1" si="26"/>
        <v>15.306122448979592</v>
      </c>
      <c r="M197">
        <f t="shared" ca="1" si="27"/>
        <v>18.877551020408163</v>
      </c>
      <c r="N197">
        <f t="shared" ca="1" si="28"/>
        <v>16.326530612244898</v>
      </c>
    </row>
    <row r="198" spans="1:14" x14ac:dyDescent="0.3">
      <c r="A198">
        <f t="shared" ca="1" si="22"/>
        <v>4</v>
      </c>
      <c r="C198">
        <f ca="1">COUNTIF(A$2:A198,1)</f>
        <v>24</v>
      </c>
      <c r="D198">
        <f ca="1">COUNTIF($A$2:$A198,2)</f>
        <v>38</v>
      </c>
      <c r="E198">
        <f ca="1">COUNTIF($A$2:$A198,3)</f>
        <v>35</v>
      </c>
      <c r="F198">
        <f ca="1">COUNTIF($A$2:$A198,4)</f>
        <v>31</v>
      </c>
      <c r="G198">
        <f ca="1">COUNTIF($A$2:$A198,5)</f>
        <v>37</v>
      </c>
      <c r="H198">
        <f ca="1">COUNTIF($A$2:$A198,6)</f>
        <v>32</v>
      </c>
      <c r="I198">
        <f t="shared" ca="1" si="23"/>
        <v>12.18274111675127</v>
      </c>
      <c r="J198">
        <f t="shared" ca="1" si="24"/>
        <v>19.289340101522843</v>
      </c>
      <c r="K198">
        <f t="shared" ca="1" si="25"/>
        <v>17.766497461928935</v>
      </c>
      <c r="L198">
        <f t="shared" ca="1" si="26"/>
        <v>15.736040609137056</v>
      </c>
      <c r="M198">
        <f t="shared" ca="1" si="27"/>
        <v>18.781725888324875</v>
      </c>
      <c r="N198">
        <f t="shared" ca="1" si="28"/>
        <v>16.243654822335024</v>
      </c>
    </row>
    <row r="199" spans="1:14" x14ac:dyDescent="0.3">
      <c r="A199">
        <f t="shared" ca="1" si="22"/>
        <v>1</v>
      </c>
      <c r="C199">
        <f ca="1">COUNTIF(A$2:A199,1)</f>
        <v>25</v>
      </c>
      <c r="D199">
        <f ca="1">COUNTIF($A$2:$A199,2)</f>
        <v>38</v>
      </c>
      <c r="E199">
        <f ca="1">COUNTIF($A$2:$A199,3)</f>
        <v>35</v>
      </c>
      <c r="F199">
        <f ca="1">COUNTIF($A$2:$A199,4)</f>
        <v>31</v>
      </c>
      <c r="G199">
        <f ca="1">COUNTIF($A$2:$A199,5)</f>
        <v>37</v>
      </c>
      <c r="H199">
        <f ca="1">COUNTIF($A$2:$A199,6)</f>
        <v>32</v>
      </c>
      <c r="I199">
        <f t="shared" ca="1" si="23"/>
        <v>12.626262626262626</v>
      </c>
      <c r="J199">
        <f t="shared" ca="1" si="24"/>
        <v>19.19191919191919</v>
      </c>
      <c r="K199">
        <f t="shared" ca="1" si="25"/>
        <v>17.676767676767678</v>
      </c>
      <c r="L199">
        <f t="shared" ca="1" si="26"/>
        <v>15.656565656565657</v>
      </c>
      <c r="M199">
        <f t="shared" ca="1" si="27"/>
        <v>18.686868686868689</v>
      </c>
      <c r="N199">
        <f t="shared" ca="1" si="28"/>
        <v>16.161616161616163</v>
      </c>
    </row>
    <row r="200" spans="1:14" x14ac:dyDescent="0.3">
      <c r="A200">
        <f t="shared" ca="1" si="22"/>
        <v>5</v>
      </c>
      <c r="C200">
        <f ca="1">COUNTIF(A$2:A200,1)</f>
        <v>25</v>
      </c>
      <c r="D200">
        <f ca="1">COUNTIF($A$2:$A200,2)</f>
        <v>38</v>
      </c>
      <c r="E200">
        <f ca="1">COUNTIF($A$2:$A200,3)</f>
        <v>35</v>
      </c>
      <c r="F200">
        <f ca="1">COUNTIF($A$2:$A200,4)</f>
        <v>31</v>
      </c>
      <c r="G200">
        <f ca="1">COUNTIF($A$2:$A200,5)</f>
        <v>38</v>
      </c>
      <c r="H200">
        <f ca="1">COUNTIF($A$2:$A200,6)</f>
        <v>32</v>
      </c>
      <c r="I200">
        <f t="shared" ca="1" si="23"/>
        <v>12.562814070351758</v>
      </c>
      <c r="J200">
        <f t="shared" ca="1" si="24"/>
        <v>19.095477386934672</v>
      </c>
      <c r="K200">
        <f t="shared" ca="1" si="25"/>
        <v>17.587939698492463</v>
      </c>
      <c r="L200">
        <f t="shared" ca="1" si="26"/>
        <v>15.577889447236181</v>
      </c>
      <c r="M200">
        <f t="shared" ca="1" si="27"/>
        <v>19.095477386934672</v>
      </c>
      <c r="N200">
        <f t="shared" ca="1" si="28"/>
        <v>16.08040201005025</v>
      </c>
    </row>
    <row r="201" spans="1:14" x14ac:dyDescent="0.3">
      <c r="A201">
        <f t="shared" ca="1" si="22"/>
        <v>2</v>
      </c>
      <c r="C201">
        <f ca="1">COUNTIF(A$2:A201,1)</f>
        <v>25</v>
      </c>
      <c r="D201">
        <f ca="1">COUNTIF($A$2:$A201,2)</f>
        <v>39</v>
      </c>
      <c r="E201">
        <f ca="1">COUNTIF($A$2:$A201,3)</f>
        <v>35</v>
      </c>
      <c r="F201">
        <f ca="1">COUNTIF($A$2:$A201,4)</f>
        <v>31</v>
      </c>
      <c r="G201">
        <f ca="1">COUNTIF($A$2:$A201,5)</f>
        <v>38</v>
      </c>
      <c r="H201">
        <f ca="1">COUNTIF($A$2:$A201,6)</f>
        <v>32</v>
      </c>
      <c r="I201">
        <f t="shared" ca="1" si="23"/>
        <v>12.5</v>
      </c>
      <c r="J201">
        <f t="shared" ca="1" si="24"/>
        <v>19.5</v>
      </c>
      <c r="K201">
        <f t="shared" ca="1" si="25"/>
        <v>17.5</v>
      </c>
      <c r="L201">
        <f t="shared" ca="1" si="26"/>
        <v>15.5</v>
      </c>
      <c r="M201">
        <f t="shared" ca="1" si="27"/>
        <v>19</v>
      </c>
      <c r="N201">
        <f t="shared" ca="1" si="28"/>
        <v>16</v>
      </c>
    </row>
    <row r="202" spans="1:14" x14ac:dyDescent="0.3">
      <c r="A202">
        <f t="shared" ca="1" si="22"/>
        <v>6</v>
      </c>
      <c r="C202">
        <f ca="1">COUNTIF(A$2:A202,1)</f>
        <v>25</v>
      </c>
      <c r="D202">
        <f ca="1">COUNTIF($A$2:$A202,2)</f>
        <v>39</v>
      </c>
      <c r="E202">
        <f ca="1">COUNTIF($A$2:$A202,3)</f>
        <v>35</v>
      </c>
      <c r="F202">
        <f ca="1">COUNTIF($A$2:$A202,4)</f>
        <v>31</v>
      </c>
      <c r="G202">
        <f ca="1">COUNTIF($A$2:$A202,5)</f>
        <v>38</v>
      </c>
      <c r="H202">
        <f ca="1">COUNTIF($A$2:$A202,6)</f>
        <v>33</v>
      </c>
      <c r="I202">
        <f t="shared" ca="1" si="23"/>
        <v>12.437810945273633</v>
      </c>
      <c r="J202">
        <f t="shared" ca="1" si="24"/>
        <v>19.402985074626866</v>
      </c>
      <c r="K202">
        <f t="shared" ca="1" si="25"/>
        <v>17.412935323383085</v>
      </c>
      <c r="L202">
        <f t="shared" ca="1" si="26"/>
        <v>15.422885572139302</v>
      </c>
      <c r="M202">
        <f t="shared" ca="1" si="27"/>
        <v>18.905472636815919</v>
      </c>
      <c r="N202">
        <f t="shared" ca="1" si="28"/>
        <v>16.417910447761194</v>
      </c>
    </row>
    <row r="203" spans="1:14" x14ac:dyDescent="0.3">
      <c r="A203">
        <f t="shared" ca="1" si="22"/>
        <v>4</v>
      </c>
      <c r="C203">
        <f ca="1">COUNTIF(A$2:A203,1)</f>
        <v>25</v>
      </c>
      <c r="D203">
        <f ca="1">COUNTIF($A$2:$A203,2)</f>
        <v>39</v>
      </c>
      <c r="E203">
        <f ca="1">COUNTIF($A$2:$A203,3)</f>
        <v>35</v>
      </c>
      <c r="F203">
        <f ca="1">COUNTIF($A$2:$A203,4)</f>
        <v>32</v>
      </c>
      <c r="G203">
        <f ca="1">COUNTIF($A$2:$A203,5)</f>
        <v>38</v>
      </c>
      <c r="H203">
        <f ca="1">COUNTIF($A$2:$A203,6)</f>
        <v>33</v>
      </c>
      <c r="I203">
        <f t="shared" ca="1" si="23"/>
        <v>12.376237623762377</v>
      </c>
      <c r="J203">
        <f t="shared" ca="1" si="24"/>
        <v>19.306930693069308</v>
      </c>
      <c r="K203">
        <f t="shared" ca="1" si="25"/>
        <v>17.326732673267326</v>
      </c>
      <c r="L203">
        <f t="shared" ca="1" si="26"/>
        <v>15.841584158415841</v>
      </c>
      <c r="M203">
        <f t="shared" ca="1" si="27"/>
        <v>18.811881188118811</v>
      </c>
      <c r="N203">
        <f t="shared" ca="1" si="28"/>
        <v>16.336633663366339</v>
      </c>
    </row>
    <row r="204" spans="1:14" x14ac:dyDescent="0.3">
      <c r="A204">
        <f t="shared" ca="1" si="22"/>
        <v>1</v>
      </c>
      <c r="C204">
        <f ca="1">COUNTIF(A$2:A204,1)</f>
        <v>26</v>
      </c>
      <c r="D204">
        <f ca="1">COUNTIF($A$2:$A204,2)</f>
        <v>39</v>
      </c>
      <c r="E204">
        <f ca="1">COUNTIF($A$2:$A204,3)</f>
        <v>35</v>
      </c>
      <c r="F204">
        <f ca="1">COUNTIF($A$2:$A204,4)</f>
        <v>32</v>
      </c>
      <c r="G204">
        <f ca="1">COUNTIF($A$2:$A204,5)</f>
        <v>38</v>
      </c>
      <c r="H204">
        <f ca="1">COUNTIF($A$2:$A204,6)</f>
        <v>33</v>
      </c>
      <c r="I204">
        <f t="shared" ca="1" si="23"/>
        <v>12.807881773399016</v>
      </c>
      <c r="J204">
        <f t="shared" ca="1" si="24"/>
        <v>19.21182266009852</v>
      </c>
      <c r="K204">
        <f t="shared" ca="1" si="25"/>
        <v>17.241379310344829</v>
      </c>
      <c r="L204">
        <f t="shared" ca="1" si="26"/>
        <v>15.763546798029557</v>
      </c>
      <c r="M204">
        <f t="shared" ca="1" si="27"/>
        <v>18.7192118226601</v>
      </c>
      <c r="N204">
        <f t="shared" ca="1" si="28"/>
        <v>16.256157635467979</v>
      </c>
    </row>
    <row r="205" spans="1:14" x14ac:dyDescent="0.3">
      <c r="A205">
        <f t="shared" ca="1" si="22"/>
        <v>6</v>
      </c>
      <c r="C205">
        <f ca="1">COUNTIF(A$2:A205,1)</f>
        <v>26</v>
      </c>
      <c r="D205">
        <f ca="1">COUNTIF($A$2:$A205,2)</f>
        <v>39</v>
      </c>
      <c r="E205">
        <f ca="1">COUNTIF($A$2:$A205,3)</f>
        <v>35</v>
      </c>
      <c r="F205">
        <f ca="1">COUNTIF($A$2:$A205,4)</f>
        <v>32</v>
      </c>
      <c r="G205">
        <f ca="1">COUNTIF($A$2:$A205,5)</f>
        <v>38</v>
      </c>
      <c r="H205">
        <f ca="1">COUNTIF($A$2:$A205,6)</f>
        <v>34</v>
      </c>
      <c r="I205">
        <f t="shared" ca="1" si="23"/>
        <v>12.745098039215685</v>
      </c>
      <c r="J205">
        <f t="shared" ca="1" si="24"/>
        <v>19.117647058823529</v>
      </c>
      <c r="K205">
        <f t="shared" ca="1" si="25"/>
        <v>17.156862745098039</v>
      </c>
      <c r="L205">
        <f t="shared" ca="1" si="26"/>
        <v>15.686274509803921</v>
      </c>
      <c r="M205">
        <f t="shared" ca="1" si="27"/>
        <v>18.627450980392158</v>
      </c>
      <c r="N205">
        <f t="shared" ca="1" si="28"/>
        <v>16.666666666666664</v>
      </c>
    </row>
    <row r="206" spans="1:14" x14ac:dyDescent="0.3">
      <c r="A206">
        <f t="shared" ca="1" si="22"/>
        <v>5</v>
      </c>
      <c r="C206">
        <f ca="1">COUNTIF(A$2:A206,1)</f>
        <v>26</v>
      </c>
      <c r="D206">
        <f ca="1">COUNTIF($A$2:$A206,2)</f>
        <v>39</v>
      </c>
      <c r="E206">
        <f ca="1">COUNTIF($A$2:$A206,3)</f>
        <v>35</v>
      </c>
      <c r="F206">
        <f ca="1">COUNTIF($A$2:$A206,4)</f>
        <v>32</v>
      </c>
      <c r="G206">
        <f ca="1">COUNTIF($A$2:$A206,5)</f>
        <v>39</v>
      </c>
      <c r="H206">
        <f ca="1">COUNTIF($A$2:$A206,6)</f>
        <v>34</v>
      </c>
      <c r="I206">
        <f t="shared" ca="1" si="23"/>
        <v>12.682926829268293</v>
      </c>
      <c r="J206">
        <f t="shared" ca="1" si="24"/>
        <v>19.024390243902438</v>
      </c>
      <c r="K206">
        <f t="shared" ca="1" si="25"/>
        <v>17.073170731707318</v>
      </c>
      <c r="L206">
        <f t="shared" ca="1" si="26"/>
        <v>15.609756097560975</v>
      </c>
      <c r="M206">
        <f t="shared" ca="1" si="27"/>
        <v>19.024390243902438</v>
      </c>
      <c r="N206">
        <f t="shared" ca="1" si="28"/>
        <v>16.585365853658537</v>
      </c>
    </row>
    <row r="207" spans="1:14" x14ac:dyDescent="0.3">
      <c r="A207">
        <f t="shared" ca="1" si="22"/>
        <v>4</v>
      </c>
      <c r="C207">
        <f ca="1">COUNTIF(A$2:A207,1)</f>
        <v>26</v>
      </c>
      <c r="D207">
        <f ca="1">COUNTIF($A$2:$A207,2)</f>
        <v>39</v>
      </c>
      <c r="E207">
        <f ca="1">COUNTIF($A$2:$A207,3)</f>
        <v>35</v>
      </c>
      <c r="F207">
        <f ca="1">COUNTIF($A$2:$A207,4)</f>
        <v>33</v>
      </c>
      <c r="G207">
        <f ca="1">COUNTIF($A$2:$A207,5)</f>
        <v>39</v>
      </c>
      <c r="H207">
        <f ca="1">COUNTIF($A$2:$A207,6)</f>
        <v>34</v>
      </c>
      <c r="I207">
        <f t="shared" ca="1" si="23"/>
        <v>12.621359223300971</v>
      </c>
      <c r="J207">
        <f t="shared" ca="1" si="24"/>
        <v>18.932038834951456</v>
      </c>
      <c r="K207">
        <f t="shared" ca="1" si="25"/>
        <v>16.990291262135923</v>
      </c>
      <c r="L207">
        <f t="shared" ca="1" si="26"/>
        <v>16.019417475728158</v>
      </c>
      <c r="M207">
        <f t="shared" ca="1" si="27"/>
        <v>18.932038834951456</v>
      </c>
      <c r="N207">
        <f t="shared" ca="1" si="28"/>
        <v>16.50485436893204</v>
      </c>
    </row>
    <row r="208" spans="1:14" x14ac:dyDescent="0.3">
      <c r="A208">
        <f t="shared" ca="1" si="22"/>
        <v>3</v>
      </c>
      <c r="C208">
        <f ca="1">COUNTIF(A$2:A208,1)</f>
        <v>26</v>
      </c>
      <c r="D208">
        <f ca="1">COUNTIF($A$2:$A208,2)</f>
        <v>39</v>
      </c>
      <c r="E208">
        <f ca="1">COUNTIF($A$2:$A208,3)</f>
        <v>36</v>
      </c>
      <c r="F208">
        <f ca="1">COUNTIF($A$2:$A208,4)</f>
        <v>33</v>
      </c>
      <c r="G208">
        <f ca="1">COUNTIF($A$2:$A208,5)</f>
        <v>39</v>
      </c>
      <c r="H208">
        <f ca="1">COUNTIF($A$2:$A208,6)</f>
        <v>34</v>
      </c>
      <c r="I208">
        <f t="shared" ca="1" si="23"/>
        <v>12.560386473429952</v>
      </c>
      <c r="J208">
        <f t="shared" ca="1" si="24"/>
        <v>18.840579710144929</v>
      </c>
      <c r="K208">
        <f t="shared" ca="1" si="25"/>
        <v>17.391304347826086</v>
      </c>
      <c r="L208">
        <f t="shared" ca="1" si="26"/>
        <v>15.942028985507244</v>
      </c>
      <c r="M208">
        <f t="shared" ca="1" si="27"/>
        <v>18.840579710144929</v>
      </c>
      <c r="N208">
        <f t="shared" ca="1" si="28"/>
        <v>16.425120772946862</v>
      </c>
    </row>
    <row r="209" spans="1:14" x14ac:dyDescent="0.3">
      <c r="A209">
        <f t="shared" ca="1" si="22"/>
        <v>5</v>
      </c>
      <c r="C209">
        <f ca="1">COUNTIF(A$2:A209,1)</f>
        <v>26</v>
      </c>
      <c r="D209">
        <f ca="1">COUNTIF($A$2:$A209,2)</f>
        <v>39</v>
      </c>
      <c r="E209">
        <f ca="1">COUNTIF($A$2:$A209,3)</f>
        <v>36</v>
      </c>
      <c r="F209">
        <f ca="1">COUNTIF($A$2:$A209,4)</f>
        <v>33</v>
      </c>
      <c r="G209">
        <f ca="1">COUNTIF($A$2:$A209,5)</f>
        <v>40</v>
      </c>
      <c r="H209">
        <f ca="1">COUNTIF($A$2:$A209,6)</f>
        <v>34</v>
      </c>
      <c r="I209">
        <f t="shared" ca="1" si="23"/>
        <v>12.5</v>
      </c>
      <c r="J209">
        <f t="shared" ca="1" si="24"/>
        <v>18.75</v>
      </c>
      <c r="K209">
        <f t="shared" ca="1" si="25"/>
        <v>17.307692307692307</v>
      </c>
      <c r="L209">
        <f t="shared" ca="1" si="26"/>
        <v>15.865384615384615</v>
      </c>
      <c r="M209">
        <f t="shared" ca="1" si="27"/>
        <v>19.230769230769234</v>
      </c>
      <c r="N209">
        <f t="shared" ca="1" si="28"/>
        <v>16.346153846153847</v>
      </c>
    </row>
    <row r="210" spans="1:14" x14ac:dyDescent="0.3">
      <c r="A210">
        <f t="shared" ca="1" si="22"/>
        <v>3</v>
      </c>
      <c r="C210">
        <f ca="1">COUNTIF(A$2:A210,1)</f>
        <v>26</v>
      </c>
      <c r="D210">
        <f ca="1">COUNTIF($A$2:$A210,2)</f>
        <v>39</v>
      </c>
      <c r="E210">
        <f ca="1">COUNTIF($A$2:$A210,3)</f>
        <v>37</v>
      </c>
      <c r="F210">
        <f ca="1">COUNTIF($A$2:$A210,4)</f>
        <v>33</v>
      </c>
      <c r="G210">
        <f ca="1">COUNTIF($A$2:$A210,5)</f>
        <v>40</v>
      </c>
      <c r="H210">
        <f ca="1">COUNTIF($A$2:$A210,6)</f>
        <v>34</v>
      </c>
      <c r="I210">
        <f t="shared" ca="1" si="23"/>
        <v>12.440191387559809</v>
      </c>
      <c r="J210">
        <f t="shared" ca="1" si="24"/>
        <v>18.660287081339714</v>
      </c>
      <c r="K210">
        <f t="shared" ca="1" si="25"/>
        <v>17.703349282296653</v>
      </c>
      <c r="L210">
        <f t="shared" ca="1" si="26"/>
        <v>15.789473684210526</v>
      </c>
      <c r="M210">
        <f t="shared" ca="1" si="27"/>
        <v>19.138755980861244</v>
      </c>
      <c r="N210">
        <f t="shared" ca="1" si="28"/>
        <v>16.267942583732058</v>
      </c>
    </row>
    <row r="211" spans="1:14" x14ac:dyDescent="0.3">
      <c r="A211">
        <f t="shared" ca="1" si="22"/>
        <v>5</v>
      </c>
      <c r="C211">
        <f ca="1">COUNTIF(A$2:A211,1)</f>
        <v>26</v>
      </c>
      <c r="D211">
        <f ca="1">COUNTIF($A$2:$A211,2)</f>
        <v>39</v>
      </c>
      <c r="E211">
        <f ca="1">COUNTIF($A$2:$A211,3)</f>
        <v>37</v>
      </c>
      <c r="F211">
        <f ca="1">COUNTIF($A$2:$A211,4)</f>
        <v>33</v>
      </c>
      <c r="G211">
        <f ca="1">COUNTIF($A$2:$A211,5)</f>
        <v>41</v>
      </c>
      <c r="H211">
        <f ca="1">COUNTIF($A$2:$A211,6)</f>
        <v>34</v>
      </c>
      <c r="I211">
        <f t="shared" ca="1" si="23"/>
        <v>12.380952380952381</v>
      </c>
      <c r="J211">
        <f t="shared" ca="1" si="24"/>
        <v>18.571428571428573</v>
      </c>
      <c r="K211">
        <f t="shared" ca="1" si="25"/>
        <v>17.61904761904762</v>
      </c>
      <c r="L211">
        <f t="shared" ca="1" si="26"/>
        <v>15.714285714285714</v>
      </c>
      <c r="M211">
        <f t="shared" ca="1" si="27"/>
        <v>19.523809523809526</v>
      </c>
      <c r="N211">
        <f t="shared" ca="1" si="28"/>
        <v>16.19047619047619</v>
      </c>
    </row>
    <row r="212" spans="1:14" x14ac:dyDescent="0.3">
      <c r="A212">
        <f t="shared" ca="1" si="22"/>
        <v>3</v>
      </c>
      <c r="C212">
        <f ca="1">COUNTIF(A$2:A212,1)</f>
        <v>26</v>
      </c>
      <c r="D212">
        <f ca="1">COUNTIF($A$2:$A212,2)</f>
        <v>39</v>
      </c>
      <c r="E212">
        <f ca="1">COUNTIF($A$2:$A212,3)</f>
        <v>38</v>
      </c>
      <c r="F212">
        <f ca="1">COUNTIF($A$2:$A212,4)</f>
        <v>33</v>
      </c>
      <c r="G212">
        <f ca="1">COUNTIF($A$2:$A212,5)</f>
        <v>41</v>
      </c>
      <c r="H212">
        <f ca="1">COUNTIF($A$2:$A212,6)</f>
        <v>34</v>
      </c>
      <c r="I212">
        <f t="shared" ca="1" si="23"/>
        <v>12.322274881516588</v>
      </c>
      <c r="J212">
        <f t="shared" ca="1" si="24"/>
        <v>18.48341232227488</v>
      </c>
      <c r="K212">
        <f t="shared" ca="1" si="25"/>
        <v>18.009478672985782</v>
      </c>
      <c r="L212">
        <f t="shared" ca="1" si="26"/>
        <v>15.639810426540285</v>
      </c>
      <c r="M212">
        <f t="shared" ca="1" si="27"/>
        <v>19.431279620853083</v>
      </c>
      <c r="N212">
        <f t="shared" ca="1" si="28"/>
        <v>16.113744075829384</v>
      </c>
    </row>
    <row r="213" spans="1:14" x14ac:dyDescent="0.3">
      <c r="A213">
        <f t="shared" ca="1" si="22"/>
        <v>1</v>
      </c>
      <c r="C213">
        <f ca="1">COUNTIF(A$2:A213,1)</f>
        <v>27</v>
      </c>
      <c r="D213">
        <f ca="1">COUNTIF($A$2:$A213,2)</f>
        <v>39</v>
      </c>
      <c r="E213">
        <f ca="1">COUNTIF($A$2:$A213,3)</f>
        <v>38</v>
      </c>
      <c r="F213">
        <f ca="1">COUNTIF($A$2:$A213,4)</f>
        <v>33</v>
      </c>
      <c r="G213">
        <f ca="1">COUNTIF($A$2:$A213,5)</f>
        <v>41</v>
      </c>
      <c r="H213">
        <f ca="1">COUNTIF($A$2:$A213,6)</f>
        <v>34</v>
      </c>
      <c r="I213">
        <f t="shared" ca="1" si="23"/>
        <v>12.735849056603774</v>
      </c>
      <c r="J213">
        <f t="shared" ca="1" si="24"/>
        <v>18.39622641509434</v>
      </c>
      <c r="K213">
        <f t="shared" ca="1" si="25"/>
        <v>17.924528301886792</v>
      </c>
      <c r="L213">
        <f t="shared" ca="1" si="26"/>
        <v>15.566037735849056</v>
      </c>
      <c r="M213">
        <f t="shared" ca="1" si="27"/>
        <v>19.339622641509436</v>
      </c>
      <c r="N213">
        <f t="shared" ca="1" si="28"/>
        <v>16.037735849056602</v>
      </c>
    </row>
    <row r="214" spans="1:14" x14ac:dyDescent="0.3">
      <c r="A214">
        <f t="shared" ca="1" si="22"/>
        <v>2</v>
      </c>
      <c r="C214">
        <f ca="1">COUNTIF(A$2:A214,1)</f>
        <v>27</v>
      </c>
      <c r="D214">
        <f ca="1">COUNTIF($A$2:$A214,2)</f>
        <v>40</v>
      </c>
      <c r="E214">
        <f ca="1">COUNTIF($A$2:$A214,3)</f>
        <v>38</v>
      </c>
      <c r="F214">
        <f ca="1">COUNTIF($A$2:$A214,4)</f>
        <v>33</v>
      </c>
      <c r="G214">
        <f ca="1">COUNTIF($A$2:$A214,5)</f>
        <v>41</v>
      </c>
      <c r="H214">
        <f ca="1">COUNTIF($A$2:$A214,6)</f>
        <v>34</v>
      </c>
      <c r="I214">
        <f t="shared" ca="1" si="23"/>
        <v>12.676056338028168</v>
      </c>
      <c r="J214">
        <f t="shared" ca="1" si="24"/>
        <v>18.779342723004692</v>
      </c>
      <c r="K214">
        <f t="shared" ca="1" si="25"/>
        <v>17.84037558685446</v>
      </c>
      <c r="L214">
        <f t="shared" ca="1" si="26"/>
        <v>15.492957746478872</v>
      </c>
      <c r="M214">
        <f t="shared" ca="1" si="27"/>
        <v>19.248826291079812</v>
      </c>
      <c r="N214">
        <f t="shared" ca="1" si="28"/>
        <v>15.96244131455399</v>
      </c>
    </row>
    <row r="215" spans="1:14" x14ac:dyDescent="0.3">
      <c r="A215">
        <f t="shared" ca="1" si="22"/>
        <v>6</v>
      </c>
      <c r="C215">
        <f ca="1">COUNTIF(A$2:A215,1)</f>
        <v>27</v>
      </c>
      <c r="D215">
        <f ca="1">COUNTIF($A$2:$A215,2)</f>
        <v>40</v>
      </c>
      <c r="E215">
        <f ca="1">COUNTIF($A$2:$A215,3)</f>
        <v>38</v>
      </c>
      <c r="F215">
        <f ca="1">COUNTIF($A$2:$A215,4)</f>
        <v>33</v>
      </c>
      <c r="G215">
        <f ca="1">COUNTIF($A$2:$A215,5)</f>
        <v>41</v>
      </c>
      <c r="H215">
        <f ca="1">COUNTIF($A$2:$A215,6)</f>
        <v>35</v>
      </c>
      <c r="I215">
        <f t="shared" ca="1" si="23"/>
        <v>12.616822429906541</v>
      </c>
      <c r="J215">
        <f t="shared" ca="1" si="24"/>
        <v>18.691588785046729</v>
      </c>
      <c r="K215">
        <f t="shared" ca="1" si="25"/>
        <v>17.75700934579439</v>
      </c>
      <c r="L215">
        <f t="shared" ca="1" si="26"/>
        <v>15.420560747663551</v>
      </c>
      <c r="M215">
        <f t="shared" ca="1" si="27"/>
        <v>19.158878504672895</v>
      </c>
      <c r="N215">
        <f t="shared" ca="1" si="28"/>
        <v>16.355140186915886</v>
      </c>
    </row>
    <row r="216" spans="1:14" x14ac:dyDescent="0.3">
      <c r="A216">
        <f t="shared" ca="1" si="22"/>
        <v>5</v>
      </c>
      <c r="C216">
        <f ca="1">COUNTIF(A$2:A216,1)</f>
        <v>27</v>
      </c>
      <c r="D216">
        <f ca="1">COUNTIF($A$2:$A216,2)</f>
        <v>40</v>
      </c>
      <c r="E216">
        <f ca="1">COUNTIF($A$2:$A216,3)</f>
        <v>38</v>
      </c>
      <c r="F216">
        <f ca="1">COUNTIF($A$2:$A216,4)</f>
        <v>33</v>
      </c>
      <c r="G216">
        <f ca="1">COUNTIF($A$2:$A216,5)</f>
        <v>42</v>
      </c>
      <c r="H216">
        <f ca="1">COUNTIF($A$2:$A216,6)</f>
        <v>35</v>
      </c>
      <c r="I216">
        <f t="shared" ca="1" si="23"/>
        <v>12.558139534883722</v>
      </c>
      <c r="J216">
        <f t="shared" ca="1" si="24"/>
        <v>18.604651162790699</v>
      </c>
      <c r="K216">
        <f t="shared" ca="1" si="25"/>
        <v>17.674418604651162</v>
      </c>
      <c r="L216">
        <f t="shared" ca="1" si="26"/>
        <v>15.348837209302326</v>
      </c>
      <c r="M216">
        <f t="shared" ca="1" si="27"/>
        <v>19.534883720930232</v>
      </c>
      <c r="N216">
        <f t="shared" ca="1" si="28"/>
        <v>16.279069767441861</v>
      </c>
    </row>
    <row r="217" spans="1:14" x14ac:dyDescent="0.3">
      <c r="A217">
        <f t="shared" ca="1" si="22"/>
        <v>3</v>
      </c>
      <c r="C217">
        <f ca="1">COUNTIF(A$2:A217,1)</f>
        <v>27</v>
      </c>
      <c r="D217">
        <f ca="1">COUNTIF($A$2:$A217,2)</f>
        <v>40</v>
      </c>
      <c r="E217">
        <f ca="1">COUNTIF($A$2:$A217,3)</f>
        <v>39</v>
      </c>
      <c r="F217">
        <f ca="1">COUNTIF($A$2:$A217,4)</f>
        <v>33</v>
      </c>
      <c r="G217">
        <f ca="1">COUNTIF($A$2:$A217,5)</f>
        <v>42</v>
      </c>
      <c r="H217">
        <f ca="1">COUNTIF($A$2:$A217,6)</f>
        <v>35</v>
      </c>
      <c r="I217">
        <f t="shared" ca="1" si="23"/>
        <v>12.5</v>
      </c>
      <c r="J217">
        <f t="shared" ca="1" si="24"/>
        <v>18.518518518518519</v>
      </c>
      <c r="K217">
        <f t="shared" ca="1" si="25"/>
        <v>18.055555555555554</v>
      </c>
      <c r="L217">
        <f t="shared" ca="1" si="26"/>
        <v>15.277777777777779</v>
      </c>
      <c r="M217">
        <f t="shared" ca="1" si="27"/>
        <v>19.444444444444446</v>
      </c>
      <c r="N217">
        <f t="shared" ca="1" si="28"/>
        <v>16.203703703703702</v>
      </c>
    </row>
    <row r="218" spans="1:14" x14ac:dyDescent="0.3">
      <c r="A218">
        <f t="shared" ca="1" si="22"/>
        <v>1</v>
      </c>
      <c r="C218">
        <f ca="1">COUNTIF(A$2:A218,1)</f>
        <v>28</v>
      </c>
      <c r="D218">
        <f ca="1">COUNTIF($A$2:$A218,2)</f>
        <v>40</v>
      </c>
      <c r="E218">
        <f ca="1">COUNTIF($A$2:$A218,3)</f>
        <v>39</v>
      </c>
      <c r="F218">
        <f ca="1">COUNTIF($A$2:$A218,4)</f>
        <v>33</v>
      </c>
      <c r="G218">
        <f ca="1">COUNTIF($A$2:$A218,5)</f>
        <v>42</v>
      </c>
      <c r="H218">
        <f ca="1">COUNTIF($A$2:$A218,6)</f>
        <v>35</v>
      </c>
      <c r="I218">
        <f t="shared" ca="1" si="23"/>
        <v>12.903225806451612</v>
      </c>
      <c r="J218">
        <f t="shared" ca="1" si="24"/>
        <v>18.433179723502306</v>
      </c>
      <c r="K218">
        <f t="shared" ca="1" si="25"/>
        <v>17.972350230414747</v>
      </c>
      <c r="L218">
        <f t="shared" ca="1" si="26"/>
        <v>15.207373271889402</v>
      </c>
      <c r="M218">
        <f t="shared" ca="1" si="27"/>
        <v>19.35483870967742</v>
      </c>
      <c r="N218">
        <f t="shared" ca="1" si="28"/>
        <v>16.129032258064516</v>
      </c>
    </row>
    <row r="219" spans="1:14" x14ac:dyDescent="0.3">
      <c r="A219">
        <f t="shared" ca="1" si="22"/>
        <v>2</v>
      </c>
      <c r="C219">
        <f ca="1">COUNTIF(A$2:A219,1)</f>
        <v>28</v>
      </c>
      <c r="D219">
        <f ca="1">COUNTIF($A$2:$A219,2)</f>
        <v>41</v>
      </c>
      <c r="E219">
        <f ca="1">COUNTIF($A$2:$A219,3)</f>
        <v>39</v>
      </c>
      <c r="F219">
        <f ca="1">COUNTIF($A$2:$A219,4)</f>
        <v>33</v>
      </c>
      <c r="G219">
        <f ca="1">COUNTIF($A$2:$A219,5)</f>
        <v>42</v>
      </c>
      <c r="H219">
        <f ca="1">COUNTIF($A$2:$A219,6)</f>
        <v>35</v>
      </c>
      <c r="I219">
        <f t="shared" ca="1" si="23"/>
        <v>12.844036697247708</v>
      </c>
      <c r="J219">
        <f t="shared" ca="1" si="24"/>
        <v>18.807339449541285</v>
      </c>
      <c r="K219">
        <f t="shared" ca="1" si="25"/>
        <v>17.889908256880734</v>
      </c>
      <c r="L219">
        <f t="shared" ca="1" si="26"/>
        <v>15.137614678899084</v>
      </c>
      <c r="M219">
        <f t="shared" ca="1" si="27"/>
        <v>19.26605504587156</v>
      </c>
      <c r="N219">
        <f t="shared" ca="1" si="28"/>
        <v>16.055045871559635</v>
      </c>
    </row>
    <row r="220" spans="1:14" x14ac:dyDescent="0.3">
      <c r="A220">
        <f t="shared" ca="1" si="22"/>
        <v>5</v>
      </c>
      <c r="C220">
        <f ca="1">COUNTIF(A$2:A220,1)</f>
        <v>28</v>
      </c>
      <c r="D220">
        <f ca="1">COUNTIF($A$2:$A220,2)</f>
        <v>41</v>
      </c>
      <c r="E220">
        <f ca="1">COUNTIF($A$2:$A220,3)</f>
        <v>39</v>
      </c>
      <c r="F220">
        <f ca="1">COUNTIF($A$2:$A220,4)</f>
        <v>33</v>
      </c>
      <c r="G220">
        <f ca="1">COUNTIF($A$2:$A220,5)</f>
        <v>43</v>
      </c>
      <c r="H220">
        <f ca="1">COUNTIF($A$2:$A220,6)</f>
        <v>35</v>
      </c>
      <c r="I220">
        <f t="shared" ca="1" si="23"/>
        <v>12.785388127853881</v>
      </c>
      <c r="J220">
        <f t="shared" ca="1" si="24"/>
        <v>18.721461187214611</v>
      </c>
      <c r="K220">
        <f t="shared" ca="1" si="25"/>
        <v>17.80821917808219</v>
      </c>
      <c r="L220">
        <f t="shared" ca="1" si="26"/>
        <v>15.068493150684931</v>
      </c>
      <c r="M220">
        <f t="shared" ca="1" si="27"/>
        <v>19.634703196347029</v>
      </c>
      <c r="N220">
        <f t="shared" ca="1" si="28"/>
        <v>15.981735159817351</v>
      </c>
    </row>
    <row r="221" spans="1:14" x14ac:dyDescent="0.3">
      <c r="A221">
        <f t="shared" ca="1" si="22"/>
        <v>2</v>
      </c>
      <c r="C221">
        <f ca="1">COUNTIF(A$2:A221,1)</f>
        <v>28</v>
      </c>
      <c r="D221">
        <f ca="1">COUNTIF($A$2:$A221,2)</f>
        <v>42</v>
      </c>
      <c r="E221">
        <f ca="1">COUNTIF($A$2:$A221,3)</f>
        <v>39</v>
      </c>
      <c r="F221">
        <f ca="1">COUNTIF($A$2:$A221,4)</f>
        <v>33</v>
      </c>
      <c r="G221">
        <f ca="1">COUNTIF($A$2:$A221,5)</f>
        <v>43</v>
      </c>
      <c r="H221">
        <f ca="1">COUNTIF($A$2:$A221,6)</f>
        <v>35</v>
      </c>
      <c r="I221">
        <f t="shared" ca="1" si="23"/>
        <v>12.727272727272727</v>
      </c>
      <c r="J221">
        <f t="shared" ca="1" si="24"/>
        <v>19.090909090909093</v>
      </c>
      <c r="K221">
        <f t="shared" ca="1" si="25"/>
        <v>17.727272727272727</v>
      </c>
      <c r="L221">
        <f t="shared" ca="1" si="26"/>
        <v>15</v>
      </c>
      <c r="M221">
        <f t="shared" ca="1" si="27"/>
        <v>19.545454545454547</v>
      </c>
      <c r="N221">
        <f t="shared" ca="1" si="28"/>
        <v>15.909090909090908</v>
      </c>
    </row>
    <row r="222" spans="1:14" x14ac:dyDescent="0.3">
      <c r="A222">
        <f t="shared" ca="1" si="22"/>
        <v>5</v>
      </c>
      <c r="C222">
        <f ca="1">COUNTIF(A$2:A222,1)</f>
        <v>28</v>
      </c>
      <c r="D222">
        <f ca="1">COUNTIF($A$2:$A222,2)</f>
        <v>42</v>
      </c>
      <c r="E222">
        <f ca="1">COUNTIF($A$2:$A222,3)</f>
        <v>39</v>
      </c>
      <c r="F222">
        <f ca="1">COUNTIF($A$2:$A222,4)</f>
        <v>33</v>
      </c>
      <c r="G222">
        <f ca="1">COUNTIF($A$2:$A222,5)</f>
        <v>44</v>
      </c>
      <c r="H222">
        <f ca="1">COUNTIF($A$2:$A222,6)</f>
        <v>35</v>
      </c>
      <c r="I222">
        <f t="shared" ca="1" si="23"/>
        <v>12.669683257918551</v>
      </c>
      <c r="J222">
        <f t="shared" ca="1" si="24"/>
        <v>19.004524886877828</v>
      </c>
      <c r="K222">
        <f t="shared" ca="1" si="25"/>
        <v>17.647058823529413</v>
      </c>
      <c r="L222">
        <f t="shared" ca="1" si="26"/>
        <v>14.932126696832579</v>
      </c>
      <c r="M222">
        <f t="shared" ca="1" si="27"/>
        <v>19.909502262443439</v>
      </c>
      <c r="N222">
        <f t="shared" ca="1" si="28"/>
        <v>15.837104072398189</v>
      </c>
    </row>
    <row r="223" spans="1:14" x14ac:dyDescent="0.3">
      <c r="A223">
        <f t="shared" ca="1" si="22"/>
        <v>2</v>
      </c>
      <c r="C223">
        <f ca="1">COUNTIF(A$2:A223,1)</f>
        <v>28</v>
      </c>
      <c r="D223">
        <f ca="1">COUNTIF($A$2:$A223,2)</f>
        <v>43</v>
      </c>
      <c r="E223">
        <f ca="1">COUNTIF($A$2:$A223,3)</f>
        <v>39</v>
      </c>
      <c r="F223">
        <f ca="1">COUNTIF($A$2:$A223,4)</f>
        <v>33</v>
      </c>
      <c r="G223">
        <f ca="1">COUNTIF($A$2:$A223,5)</f>
        <v>44</v>
      </c>
      <c r="H223">
        <f ca="1">COUNTIF($A$2:$A223,6)</f>
        <v>35</v>
      </c>
      <c r="I223">
        <f t="shared" ca="1" si="23"/>
        <v>12.612612612612612</v>
      </c>
      <c r="J223">
        <f t="shared" ca="1" si="24"/>
        <v>19.36936936936937</v>
      </c>
      <c r="K223">
        <f t="shared" ca="1" si="25"/>
        <v>17.567567567567568</v>
      </c>
      <c r="L223">
        <f t="shared" ca="1" si="26"/>
        <v>14.864864864864865</v>
      </c>
      <c r="M223">
        <f t="shared" ca="1" si="27"/>
        <v>19.81981981981982</v>
      </c>
      <c r="N223">
        <f t="shared" ca="1" si="28"/>
        <v>15.765765765765765</v>
      </c>
    </row>
    <row r="224" spans="1:14" x14ac:dyDescent="0.3">
      <c r="A224">
        <f t="shared" ca="1" si="22"/>
        <v>3</v>
      </c>
      <c r="C224">
        <f ca="1">COUNTIF(A$2:A224,1)</f>
        <v>28</v>
      </c>
      <c r="D224">
        <f ca="1">COUNTIF($A$2:$A224,2)</f>
        <v>43</v>
      </c>
      <c r="E224">
        <f ca="1">COUNTIF($A$2:$A224,3)</f>
        <v>40</v>
      </c>
      <c r="F224">
        <f ca="1">COUNTIF($A$2:$A224,4)</f>
        <v>33</v>
      </c>
      <c r="G224">
        <f ca="1">COUNTIF($A$2:$A224,5)</f>
        <v>44</v>
      </c>
      <c r="H224">
        <f ca="1">COUNTIF($A$2:$A224,6)</f>
        <v>35</v>
      </c>
      <c r="I224">
        <f t="shared" ca="1" si="23"/>
        <v>12.556053811659194</v>
      </c>
      <c r="J224">
        <f t="shared" ca="1" si="24"/>
        <v>19.282511210762333</v>
      </c>
      <c r="K224">
        <f t="shared" ca="1" si="25"/>
        <v>17.937219730941703</v>
      </c>
      <c r="L224">
        <f t="shared" ca="1" si="26"/>
        <v>14.798206278026907</v>
      </c>
      <c r="M224">
        <f t="shared" ca="1" si="27"/>
        <v>19.730941704035875</v>
      </c>
      <c r="N224">
        <f t="shared" ca="1" si="28"/>
        <v>15.695067264573993</v>
      </c>
    </row>
    <row r="225" spans="1:14" x14ac:dyDescent="0.3">
      <c r="A225">
        <f t="shared" ca="1" si="22"/>
        <v>5</v>
      </c>
      <c r="C225">
        <f ca="1">COUNTIF(A$2:A225,1)</f>
        <v>28</v>
      </c>
      <c r="D225">
        <f ca="1">COUNTIF($A$2:$A225,2)</f>
        <v>43</v>
      </c>
      <c r="E225">
        <f ca="1">COUNTIF($A$2:$A225,3)</f>
        <v>40</v>
      </c>
      <c r="F225">
        <f ca="1">COUNTIF($A$2:$A225,4)</f>
        <v>33</v>
      </c>
      <c r="G225">
        <f ca="1">COUNTIF($A$2:$A225,5)</f>
        <v>45</v>
      </c>
      <c r="H225">
        <f ca="1">COUNTIF($A$2:$A225,6)</f>
        <v>35</v>
      </c>
      <c r="I225">
        <f t="shared" ca="1" si="23"/>
        <v>12.5</v>
      </c>
      <c r="J225">
        <f t="shared" ca="1" si="24"/>
        <v>19.196428571428573</v>
      </c>
      <c r="K225">
        <f t="shared" ca="1" si="25"/>
        <v>17.857142857142858</v>
      </c>
      <c r="L225">
        <f t="shared" ca="1" si="26"/>
        <v>14.732142857142858</v>
      </c>
      <c r="M225">
        <f t="shared" ca="1" si="27"/>
        <v>20.089285714285715</v>
      </c>
      <c r="N225">
        <f t="shared" ca="1" si="28"/>
        <v>15.625</v>
      </c>
    </row>
    <row r="226" spans="1:14" x14ac:dyDescent="0.3">
      <c r="A226">
        <f t="shared" ca="1" si="22"/>
        <v>4</v>
      </c>
      <c r="C226">
        <f ca="1">COUNTIF(A$2:A226,1)</f>
        <v>28</v>
      </c>
      <c r="D226">
        <f ca="1">COUNTIF($A$2:$A226,2)</f>
        <v>43</v>
      </c>
      <c r="E226">
        <f ca="1">COUNTIF($A$2:$A226,3)</f>
        <v>40</v>
      </c>
      <c r="F226">
        <f ca="1">COUNTIF($A$2:$A226,4)</f>
        <v>34</v>
      </c>
      <c r="G226">
        <f ca="1">COUNTIF($A$2:$A226,5)</f>
        <v>45</v>
      </c>
      <c r="H226">
        <f ca="1">COUNTIF($A$2:$A226,6)</f>
        <v>35</v>
      </c>
      <c r="I226">
        <f t="shared" ca="1" si="23"/>
        <v>12.444444444444445</v>
      </c>
      <c r="J226">
        <f t="shared" ca="1" si="24"/>
        <v>19.111111111111111</v>
      </c>
      <c r="K226">
        <f t="shared" ca="1" si="25"/>
        <v>17.777777777777779</v>
      </c>
      <c r="L226">
        <f t="shared" ca="1" si="26"/>
        <v>15.111111111111111</v>
      </c>
      <c r="M226">
        <f t="shared" ca="1" si="27"/>
        <v>20</v>
      </c>
      <c r="N226">
        <f t="shared" ca="1" si="28"/>
        <v>15.555555555555555</v>
      </c>
    </row>
    <row r="227" spans="1:14" x14ac:dyDescent="0.3">
      <c r="A227">
        <f t="shared" ca="1" si="22"/>
        <v>1</v>
      </c>
      <c r="C227">
        <f ca="1">COUNTIF(A$2:A227,1)</f>
        <v>29</v>
      </c>
      <c r="D227">
        <f ca="1">COUNTIF($A$2:$A227,2)</f>
        <v>43</v>
      </c>
      <c r="E227">
        <f ca="1">COUNTIF($A$2:$A227,3)</f>
        <v>40</v>
      </c>
      <c r="F227">
        <f ca="1">COUNTIF($A$2:$A227,4)</f>
        <v>34</v>
      </c>
      <c r="G227">
        <f ca="1">COUNTIF($A$2:$A227,5)</f>
        <v>45</v>
      </c>
      <c r="H227">
        <f ca="1">COUNTIF($A$2:$A227,6)</f>
        <v>35</v>
      </c>
      <c r="I227">
        <f t="shared" ca="1" si="23"/>
        <v>12.831858407079647</v>
      </c>
      <c r="J227">
        <f t="shared" ca="1" si="24"/>
        <v>19.026548672566371</v>
      </c>
      <c r="K227">
        <f t="shared" ca="1" si="25"/>
        <v>17.699115044247787</v>
      </c>
      <c r="L227">
        <f t="shared" ca="1" si="26"/>
        <v>15.044247787610621</v>
      </c>
      <c r="M227">
        <f t="shared" ca="1" si="27"/>
        <v>19.911504424778762</v>
      </c>
      <c r="N227">
        <f t="shared" ca="1" si="28"/>
        <v>15.486725663716813</v>
      </c>
    </row>
    <row r="228" spans="1:14" x14ac:dyDescent="0.3">
      <c r="A228">
        <f t="shared" ca="1" si="22"/>
        <v>6</v>
      </c>
      <c r="C228">
        <f ca="1">COUNTIF(A$2:A228,1)</f>
        <v>29</v>
      </c>
      <c r="D228">
        <f ca="1">COUNTIF($A$2:$A228,2)</f>
        <v>43</v>
      </c>
      <c r="E228">
        <f ca="1">COUNTIF($A$2:$A228,3)</f>
        <v>40</v>
      </c>
      <c r="F228">
        <f ca="1">COUNTIF($A$2:$A228,4)</f>
        <v>34</v>
      </c>
      <c r="G228">
        <f ca="1">COUNTIF($A$2:$A228,5)</f>
        <v>45</v>
      </c>
      <c r="H228">
        <f ca="1">COUNTIF($A$2:$A228,6)</f>
        <v>36</v>
      </c>
      <c r="I228">
        <f t="shared" ca="1" si="23"/>
        <v>12.77533039647577</v>
      </c>
      <c r="J228">
        <f t="shared" ca="1" si="24"/>
        <v>18.942731277533039</v>
      </c>
      <c r="K228">
        <f t="shared" ca="1" si="25"/>
        <v>17.621145374449341</v>
      </c>
      <c r="L228">
        <f t="shared" ca="1" si="26"/>
        <v>14.977973568281937</v>
      </c>
      <c r="M228">
        <f t="shared" ca="1" si="27"/>
        <v>19.823788546255507</v>
      </c>
      <c r="N228">
        <f t="shared" ca="1" si="28"/>
        <v>15.859030837004406</v>
      </c>
    </row>
    <row r="229" spans="1:14" x14ac:dyDescent="0.3">
      <c r="A229">
        <f t="shared" ca="1" si="22"/>
        <v>3</v>
      </c>
      <c r="C229">
        <f ca="1">COUNTIF(A$2:A229,1)</f>
        <v>29</v>
      </c>
      <c r="D229">
        <f ca="1">COUNTIF($A$2:$A229,2)</f>
        <v>43</v>
      </c>
      <c r="E229">
        <f ca="1">COUNTIF($A$2:$A229,3)</f>
        <v>41</v>
      </c>
      <c r="F229">
        <f ca="1">COUNTIF($A$2:$A229,4)</f>
        <v>34</v>
      </c>
      <c r="G229">
        <f ca="1">COUNTIF($A$2:$A229,5)</f>
        <v>45</v>
      </c>
      <c r="H229">
        <f ca="1">COUNTIF($A$2:$A229,6)</f>
        <v>36</v>
      </c>
      <c r="I229">
        <f t="shared" ca="1" si="23"/>
        <v>12.719298245614036</v>
      </c>
      <c r="J229">
        <f t="shared" ca="1" si="24"/>
        <v>18.859649122807017</v>
      </c>
      <c r="K229">
        <f t="shared" ca="1" si="25"/>
        <v>17.982456140350877</v>
      </c>
      <c r="L229">
        <f t="shared" ca="1" si="26"/>
        <v>14.912280701754385</v>
      </c>
      <c r="M229">
        <f t="shared" ca="1" si="27"/>
        <v>19.736842105263158</v>
      </c>
      <c r="N229">
        <f t="shared" ca="1" si="28"/>
        <v>15.789473684210526</v>
      </c>
    </row>
    <row r="230" spans="1:14" x14ac:dyDescent="0.3">
      <c r="A230">
        <f t="shared" ca="1" si="22"/>
        <v>3</v>
      </c>
      <c r="C230">
        <f ca="1">COUNTIF(A$2:A230,1)</f>
        <v>29</v>
      </c>
      <c r="D230">
        <f ca="1">COUNTIF($A$2:$A230,2)</f>
        <v>43</v>
      </c>
      <c r="E230">
        <f ca="1">COUNTIF($A$2:$A230,3)</f>
        <v>42</v>
      </c>
      <c r="F230">
        <f ca="1">COUNTIF($A$2:$A230,4)</f>
        <v>34</v>
      </c>
      <c r="G230">
        <f ca="1">COUNTIF($A$2:$A230,5)</f>
        <v>45</v>
      </c>
      <c r="H230">
        <f ca="1">COUNTIF($A$2:$A230,6)</f>
        <v>36</v>
      </c>
      <c r="I230">
        <f t="shared" ca="1" si="23"/>
        <v>12.663755458515283</v>
      </c>
      <c r="J230">
        <f t="shared" ca="1" si="24"/>
        <v>18.777292576419214</v>
      </c>
      <c r="K230">
        <f t="shared" ca="1" si="25"/>
        <v>18.340611353711793</v>
      </c>
      <c r="L230">
        <f t="shared" ca="1" si="26"/>
        <v>14.847161572052403</v>
      </c>
      <c r="M230">
        <f t="shared" ca="1" si="27"/>
        <v>19.650655021834059</v>
      </c>
      <c r="N230">
        <f t="shared" ca="1" si="28"/>
        <v>15.72052401746725</v>
      </c>
    </row>
    <row r="231" spans="1:14" x14ac:dyDescent="0.3">
      <c r="A231">
        <f t="shared" ca="1" si="22"/>
        <v>2</v>
      </c>
      <c r="C231">
        <f ca="1">COUNTIF(A$2:A231,1)</f>
        <v>29</v>
      </c>
      <c r="D231">
        <f ca="1">COUNTIF($A$2:$A231,2)</f>
        <v>44</v>
      </c>
      <c r="E231">
        <f ca="1">COUNTIF($A$2:$A231,3)</f>
        <v>42</v>
      </c>
      <c r="F231">
        <f ca="1">COUNTIF($A$2:$A231,4)</f>
        <v>34</v>
      </c>
      <c r="G231">
        <f ca="1">COUNTIF($A$2:$A231,5)</f>
        <v>45</v>
      </c>
      <c r="H231">
        <f ca="1">COUNTIF($A$2:$A231,6)</f>
        <v>36</v>
      </c>
      <c r="I231">
        <f t="shared" ca="1" si="23"/>
        <v>12.608695652173912</v>
      </c>
      <c r="J231">
        <f t="shared" ca="1" si="24"/>
        <v>19.130434782608695</v>
      </c>
      <c r="K231">
        <f t="shared" ca="1" si="25"/>
        <v>18.260869565217391</v>
      </c>
      <c r="L231">
        <f t="shared" ca="1" si="26"/>
        <v>14.782608695652174</v>
      </c>
      <c r="M231">
        <f t="shared" ca="1" si="27"/>
        <v>19.565217391304348</v>
      </c>
      <c r="N231">
        <f t="shared" ca="1" si="28"/>
        <v>15.65217391304348</v>
      </c>
    </row>
    <row r="232" spans="1:14" x14ac:dyDescent="0.3">
      <c r="A232">
        <f t="shared" ca="1" si="22"/>
        <v>5</v>
      </c>
      <c r="C232">
        <f ca="1">COUNTIF(A$2:A232,1)</f>
        <v>29</v>
      </c>
      <c r="D232">
        <f ca="1">COUNTIF($A$2:$A232,2)</f>
        <v>44</v>
      </c>
      <c r="E232">
        <f ca="1">COUNTIF($A$2:$A232,3)</f>
        <v>42</v>
      </c>
      <c r="F232">
        <f ca="1">COUNTIF($A$2:$A232,4)</f>
        <v>34</v>
      </c>
      <c r="G232">
        <f ca="1">COUNTIF($A$2:$A232,5)</f>
        <v>46</v>
      </c>
      <c r="H232">
        <f ca="1">COUNTIF($A$2:$A232,6)</f>
        <v>36</v>
      </c>
      <c r="I232">
        <f t="shared" ca="1" si="23"/>
        <v>12.554112554112553</v>
      </c>
      <c r="J232">
        <f t="shared" ca="1" si="24"/>
        <v>19.047619047619047</v>
      </c>
      <c r="K232">
        <f t="shared" ca="1" si="25"/>
        <v>18.181818181818183</v>
      </c>
      <c r="L232">
        <f t="shared" ca="1" si="26"/>
        <v>14.71861471861472</v>
      </c>
      <c r="M232">
        <f t="shared" ca="1" si="27"/>
        <v>19.913419913419915</v>
      </c>
      <c r="N232">
        <f t="shared" ca="1" si="28"/>
        <v>15.584415584415584</v>
      </c>
    </row>
    <row r="233" spans="1:14" x14ac:dyDescent="0.3">
      <c r="A233">
        <f t="shared" ca="1" si="22"/>
        <v>4</v>
      </c>
      <c r="C233">
        <f ca="1">COUNTIF(A$2:A233,1)</f>
        <v>29</v>
      </c>
      <c r="D233">
        <f ca="1">COUNTIF($A$2:$A233,2)</f>
        <v>44</v>
      </c>
      <c r="E233">
        <f ca="1">COUNTIF($A$2:$A233,3)</f>
        <v>42</v>
      </c>
      <c r="F233">
        <f ca="1">COUNTIF($A$2:$A233,4)</f>
        <v>35</v>
      </c>
      <c r="G233">
        <f ca="1">COUNTIF($A$2:$A233,5)</f>
        <v>46</v>
      </c>
      <c r="H233">
        <f ca="1">COUNTIF($A$2:$A233,6)</f>
        <v>36</v>
      </c>
      <c r="I233">
        <f t="shared" ca="1" si="23"/>
        <v>12.5</v>
      </c>
      <c r="J233">
        <f t="shared" ca="1" si="24"/>
        <v>18.96551724137931</v>
      </c>
      <c r="K233">
        <f t="shared" ca="1" si="25"/>
        <v>18.103448275862068</v>
      </c>
      <c r="L233">
        <f t="shared" ca="1" si="26"/>
        <v>15.086206896551724</v>
      </c>
      <c r="M233">
        <f t="shared" ca="1" si="27"/>
        <v>19.827586206896552</v>
      </c>
      <c r="N233">
        <f t="shared" ca="1" si="28"/>
        <v>15.517241379310345</v>
      </c>
    </row>
    <row r="234" spans="1:14" x14ac:dyDescent="0.3">
      <c r="A234">
        <f t="shared" ca="1" si="22"/>
        <v>4</v>
      </c>
      <c r="C234">
        <f ca="1">COUNTIF(A$2:A234,1)</f>
        <v>29</v>
      </c>
      <c r="D234">
        <f ca="1">COUNTIF($A$2:$A234,2)</f>
        <v>44</v>
      </c>
      <c r="E234">
        <f ca="1">COUNTIF($A$2:$A234,3)</f>
        <v>42</v>
      </c>
      <c r="F234">
        <f ca="1">COUNTIF($A$2:$A234,4)</f>
        <v>36</v>
      </c>
      <c r="G234">
        <f ca="1">COUNTIF($A$2:$A234,5)</f>
        <v>46</v>
      </c>
      <c r="H234">
        <f ca="1">COUNTIF($A$2:$A234,6)</f>
        <v>36</v>
      </c>
      <c r="I234">
        <f t="shared" ca="1" si="23"/>
        <v>12.446351931330472</v>
      </c>
      <c r="J234">
        <f t="shared" ca="1" si="24"/>
        <v>18.884120171673821</v>
      </c>
      <c r="K234">
        <f t="shared" ca="1" si="25"/>
        <v>18.025751072961373</v>
      </c>
      <c r="L234">
        <f t="shared" ca="1" si="26"/>
        <v>15.450643776824036</v>
      </c>
      <c r="M234">
        <f t="shared" ca="1" si="27"/>
        <v>19.742489270386265</v>
      </c>
      <c r="N234">
        <f t="shared" ca="1" si="28"/>
        <v>15.450643776824036</v>
      </c>
    </row>
    <row r="235" spans="1:14" x14ac:dyDescent="0.3">
      <c r="A235">
        <f t="shared" ca="1" si="22"/>
        <v>4</v>
      </c>
      <c r="C235">
        <f ca="1">COUNTIF(A$2:A235,1)</f>
        <v>29</v>
      </c>
      <c r="D235">
        <f ca="1">COUNTIF($A$2:$A235,2)</f>
        <v>44</v>
      </c>
      <c r="E235">
        <f ca="1">COUNTIF($A$2:$A235,3)</f>
        <v>42</v>
      </c>
      <c r="F235">
        <f ca="1">COUNTIF($A$2:$A235,4)</f>
        <v>37</v>
      </c>
      <c r="G235">
        <f ca="1">COUNTIF($A$2:$A235,5)</f>
        <v>46</v>
      </c>
      <c r="H235">
        <f ca="1">COUNTIF($A$2:$A235,6)</f>
        <v>36</v>
      </c>
      <c r="I235">
        <f t="shared" ca="1" si="23"/>
        <v>12.393162393162394</v>
      </c>
      <c r="J235">
        <f t="shared" ca="1" si="24"/>
        <v>18.803418803418804</v>
      </c>
      <c r="K235">
        <f t="shared" ca="1" si="25"/>
        <v>17.948717948717949</v>
      </c>
      <c r="L235">
        <f t="shared" ca="1" si="26"/>
        <v>15.811965811965811</v>
      </c>
      <c r="M235">
        <f t="shared" ca="1" si="27"/>
        <v>19.658119658119659</v>
      </c>
      <c r="N235">
        <f t="shared" ca="1" si="28"/>
        <v>15.384615384615385</v>
      </c>
    </row>
    <row r="236" spans="1:14" x14ac:dyDescent="0.3">
      <c r="A236">
        <f t="shared" ca="1" si="22"/>
        <v>3</v>
      </c>
      <c r="C236">
        <f ca="1">COUNTIF(A$2:A236,1)</f>
        <v>29</v>
      </c>
      <c r="D236">
        <f ca="1">COUNTIF($A$2:$A236,2)</f>
        <v>44</v>
      </c>
      <c r="E236">
        <f ca="1">COUNTIF($A$2:$A236,3)</f>
        <v>43</v>
      </c>
      <c r="F236">
        <f ca="1">COUNTIF($A$2:$A236,4)</f>
        <v>37</v>
      </c>
      <c r="G236">
        <f ca="1">COUNTIF($A$2:$A236,5)</f>
        <v>46</v>
      </c>
      <c r="H236">
        <f ca="1">COUNTIF($A$2:$A236,6)</f>
        <v>36</v>
      </c>
      <c r="I236">
        <f t="shared" ca="1" si="23"/>
        <v>12.340425531914894</v>
      </c>
      <c r="J236">
        <f t="shared" ca="1" si="24"/>
        <v>18.723404255319149</v>
      </c>
      <c r="K236">
        <f t="shared" ca="1" si="25"/>
        <v>18.297872340425531</v>
      </c>
      <c r="L236">
        <f t="shared" ca="1" si="26"/>
        <v>15.74468085106383</v>
      </c>
      <c r="M236">
        <f t="shared" ca="1" si="27"/>
        <v>19.574468085106382</v>
      </c>
      <c r="N236">
        <f t="shared" ca="1" si="28"/>
        <v>15.319148936170212</v>
      </c>
    </row>
    <row r="237" spans="1:14" x14ac:dyDescent="0.3">
      <c r="A237">
        <f t="shared" ca="1" si="22"/>
        <v>5</v>
      </c>
      <c r="C237">
        <f ca="1">COUNTIF(A$2:A237,1)</f>
        <v>29</v>
      </c>
      <c r="D237">
        <f ca="1">COUNTIF($A$2:$A237,2)</f>
        <v>44</v>
      </c>
      <c r="E237">
        <f ca="1">COUNTIF($A$2:$A237,3)</f>
        <v>43</v>
      </c>
      <c r="F237">
        <f ca="1">COUNTIF($A$2:$A237,4)</f>
        <v>37</v>
      </c>
      <c r="G237">
        <f ca="1">COUNTIF($A$2:$A237,5)</f>
        <v>47</v>
      </c>
      <c r="H237">
        <f ca="1">COUNTIF($A$2:$A237,6)</f>
        <v>36</v>
      </c>
      <c r="I237">
        <f t="shared" ca="1" si="23"/>
        <v>12.288135593220339</v>
      </c>
      <c r="J237">
        <f t="shared" ca="1" si="24"/>
        <v>18.64406779661017</v>
      </c>
      <c r="K237">
        <f t="shared" ca="1" si="25"/>
        <v>18.220338983050848</v>
      </c>
      <c r="L237">
        <f t="shared" ca="1" si="26"/>
        <v>15.677966101694915</v>
      </c>
      <c r="M237">
        <f t="shared" ca="1" si="27"/>
        <v>19.915254237288135</v>
      </c>
      <c r="N237">
        <f t="shared" ca="1" si="28"/>
        <v>15.254237288135593</v>
      </c>
    </row>
    <row r="238" spans="1:14" x14ac:dyDescent="0.3">
      <c r="A238">
        <f t="shared" ca="1" si="22"/>
        <v>2</v>
      </c>
      <c r="C238">
        <f ca="1">COUNTIF(A$2:A238,1)</f>
        <v>29</v>
      </c>
      <c r="D238">
        <f ca="1">COUNTIF($A$2:$A238,2)</f>
        <v>45</v>
      </c>
      <c r="E238">
        <f ca="1">COUNTIF($A$2:$A238,3)</f>
        <v>43</v>
      </c>
      <c r="F238">
        <f ca="1">COUNTIF($A$2:$A238,4)</f>
        <v>37</v>
      </c>
      <c r="G238">
        <f ca="1">COUNTIF($A$2:$A238,5)</f>
        <v>47</v>
      </c>
      <c r="H238">
        <f ca="1">COUNTIF($A$2:$A238,6)</f>
        <v>36</v>
      </c>
      <c r="I238">
        <f t="shared" ca="1" si="23"/>
        <v>12.236286919831224</v>
      </c>
      <c r="J238">
        <f t="shared" ca="1" si="24"/>
        <v>18.9873417721519</v>
      </c>
      <c r="K238">
        <f t="shared" ca="1" si="25"/>
        <v>18.143459915611814</v>
      </c>
      <c r="L238">
        <f t="shared" ca="1" si="26"/>
        <v>15.611814345991561</v>
      </c>
      <c r="M238">
        <f t="shared" ca="1" si="27"/>
        <v>19.831223628691983</v>
      </c>
      <c r="N238">
        <f t="shared" ca="1" si="28"/>
        <v>15.18987341772152</v>
      </c>
    </row>
    <row r="239" spans="1:14" x14ac:dyDescent="0.3">
      <c r="A239">
        <f t="shared" ca="1" si="22"/>
        <v>4</v>
      </c>
      <c r="C239">
        <f ca="1">COUNTIF(A$2:A239,1)</f>
        <v>29</v>
      </c>
      <c r="D239">
        <f ca="1">COUNTIF($A$2:$A239,2)</f>
        <v>45</v>
      </c>
      <c r="E239">
        <f ca="1">COUNTIF($A$2:$A239,3)</f>
        <v>43</v>
      </c>
      <c r="F239">
        <f ca="1">COUNTIF($A$2:$A239,4)</f>
        <v>38</v>
      </c>
      <c r="G239">
        <f ca="1">COUNTIF($A$2:$A239,5)</f>
        <v>47</v>
      </c>
      <c r="H239">
        <f ca="1">COUNTIF($A$2:$A239,6)</f>
        <v>36</v>
      </c>
      <c r="I239">
        <f t="shared" ca="1" si="23"/>
        <v>12.184873949579831</v>
      </c>
      <c r="J239">
        <f t="shared" ca="1" si="24"/>
        <v>18.907563025210084</v>
      </c>
      <c r="K239">
        <f t="shared" ca="1" si="25"/>
        <v>18.067226890756302</v>
      </c>
      <c r="L239">
        <f t="shared" ca="1" si="26"/>
        <v>15.966386554621847</v>
      </c>
      <c r="M239">
        <f t="shared" ca="1" si="27"/>
        <v>19.747899159663866</v>
      </c>
      <c r="N239">
        <f t="shared" ca="1" si="28"/>
        <v>15.126050420168067</v>
      </c>
    </row>
    <row r="240" spans="1:14" x14ac:dyDescent="0.3">
      <c r="A240">
        <f t="shared" ca="1" si="22"/>
        <v>1</v>
      </c>
      <c r="C240">
        <f ca="1">COUNTIF(A$2:A240,1)</f>
        <v>30</v>
      </c>
      <c r="D240">
        <f ca="1">COUNTIF($A$2:$A240,2)</f>
        <v>45</v>
      </c>
      <c r="E240">
        <f ca="1">COUNTIF($A$2:$A240,3)</f>
        <v>43</v>
      </c>
      <c r="F240">
        <f ca="1">COUNTIF($A$2:$A240,4)</f>
        <v>38</v>
      </c>
      <c r="G240">
        <f ca="1">COUNTIF($A$2:$A240,5)</f>
        <v>47</v>
      </c>
      <c r="H240">
        <f ca="1">COUNTIF($A$2:$A240,6)</f>
        <v>36</v>
      </c>
      <c r="I240">
        <f t="shared" ca="1" si="23"/>
        <v>12.552301255230125</v>
      </c>
      <c r="J240">
        <f t="shared" ca="1" si="24"/>
        <v>18.828451882845187</v>
      </c>
      <c r="K240">
        <f t="shared" ca="1" si="25"/>
        <v>17.99163179916318</v>
      </c>
      <c r="L240">
        <f t="shared" ca="1" si="26"/>
        <v>15.899581589958158</v>
      </c>
      <c r="M240">
        <f t="shared" ca="1" si="27"/>
        <v>19.665271966527197</v>
      </c>
      <c r="N240">
        <f t="shared" ca="1" si="28"/>
        <v>15.062761506276152</v>
      </c>
    </row>
    <row r="241" spans="1:14" x14ac:dyDescent="0.3">
      <c r="A241">
        <f t="shared" ca="1" si="22"/>
        <v>2</v>
      </c>
      <c r="C241">
        <f ca="1">COUNTIF(A$2:A241,1)</f>
        <v>30</v>
      </c>
      <c r="D241">
        <f ca="1">COUNTIF($A$2:$A241,2)</f>
        <v>46</v>
      </c>
      <c r="E241">
        <f ca="1">COUNTIF($A$2:$A241,3)</f>
        <v>43</v>
      </c>
      <c r="F241">
        <f ca="1">COUNTIF($A$2:$A241,4)</f>
        <v>38</v>
      </c>
      <c r="G241">
        <f ca="1">COUNTIF($A$2:$A241,5)</f>
        <v>47</v>
      </c>
      <c r="H241">
        <f ca="1">COUNTIF($A$2:$A241,6)</f>
        <v>36</v>
      </c>
      <c r="I241">
        <f t="shared" ca="1" si="23"/>
        <v>12.5</v>
      </c>
      <c r="J241">
        <f t="shared" ca="1" si="24"/>
        <v>19.166666666666668</v>
      </c>
      <c r="K241">
        <f t="shared" ca="1" si="25"/>
        <v>17.916666666666668</v>
      </c>
      <c r="L241">
        <f t="shared" ca="1" si="26"/>
        <v>15.833333333333332</v>
      </c>
      <c r="M241">
        <f t="shared" ca="1" si="27"/>
        <v>19.583333333333332</v>
      </c>
      <c r="N241">
        <f t="shared" ca="1" si="28"/>
        <v>15</v>
      </c>
    </row>
    <row r="242" spans="1:14" x14ac:dyDescent="0.3">
      <c r="A242">
        <f t="shared" ca="1" si="22"/>
        <v>4</v>
      </c>
      <c r="C242">
        <f ca="1">COUNTIF(A$2:A242,1)</f>
        <v>30</v>
      </c>
      <c r="D242">
        <f ca="1">COUNTIF($A$2:$A242,2)</f>
        <v>46</v>
      </c>
      <c r="E242">
        <f ca="1">COUNTIF($A$2:$A242,3)</f>
        <v>43</v>
      </c>
      <c r="F242">
        <f ca="1">COUNTIF($A$2:$A242,4)</f>
        <v>39</v>
      </c>
      <c r="G242">
        <f ca="1">COUNTIF($A$2:$A242,5)</f>
        <v>47</v>
      </c>
      <c r="H242">
        <f ca="1">COUNTIF($A$2:$A242,6)</f>
        <v>36</v>
      </c>
      <c r="I242">
        <f t="shared" ca="1" si="23"/>
        <v>12.448132780082988</v>
      </c>
      <c r="J242">
        <f t="shared" ca="1" si="24"/>
        <v>19.087136929460581</v>
      </c>
      <c r="K242">
        <f t="shared" ca="1" si="25"/>
        <v>17.842323651452283</v>
      </c>
      <c r="L242">
        <f t="shared" ca="1" si="26"/>
        <v>16.182572614107883</v>
      </c>
      <c r="M242">
        <f t="shared" ca="1" si="27"/>
        <v>19.502074688796682</v>
      </c>
      <c r="N242">
        <f t="shared" ca="1" si="28"/>
        <v>14.937759336099585</v>
      </c>
    </row>
    <row r="243" spans="1:14" x14ac:dyDescent="0.3">
      <c r="A243">
        <f t="shared" ca="1" si="22"/>
        <v>1</v>
      </c>
      <c r="C243">
        <f ca="1">COUNTIF(A$2:A243,1)</f>
        <v>31</v>
      </c>
      <c r="D243">
        <f ca="1">COUNTIF($A$2:$A243,2)</f>
        <v>46</v>
      </c>
      <c r="E243">
        <f ca="1">COUNTIF($A$2:$A243,3)</f>
        <v>43</v>
      </c>
      <c r="F243">
        <f ca="1">COUNTIF($A$2:$A243,4)</f>
        <v>39</v>
      </c>
      <c r="G243">
        <f ca="1">COUNTIF($A$2:$A243,5)</f>
        <v>47</v>
      </c>
      <c r="H243">
        <f ca="1">COUNTIF($A$2:$A243,6)</f>
        <v>36</v>
      </c>
      <c r="I243">
        <f t="shared" ca="1" si="23"/>
        <v>12.809917355371899</v>
      </c>
      <c r="J243">
        <f t="shared" ca="1" si="24"/>
        <v>19.008264462809919</v>
      </c>
      <c r="K243">
        <f t="shared" ca="1" si="25"/>
        <v>17.768595041322314</v>
      </c>
      <c r="L243">
        <f t="shared" ca="1" si="26"/>
        <v>16.115702479338843</v>
      </c>
      <c r="M243">
        <f t="shared" ca="1" si="27"/>
        <v>19.421487603305785</v>
      </c>
      <c r="N243">
        <f t="shared" ca="1" si="28"/>
        <v>14.87603305785124</v>
      </c>
    </row>
    <row r="244" spans="1:14" x14ac:dyDescent="0.3">
      <c r="A244">
        <f t="shared" ca="1" si="22"/>
        <v>3</v>
      </c>
      <c r="C244">
        <f ca="1">COUNTIF(A$2:A244,1)</f>
        <v>31</v>
      </c>
      <c r="D244">
        <f ca="1">COUNTIF($A$2:$A244,2)</f>
        <v>46</v>
      </c>
      <c r="E244">
        <f ca="1">COUNTIF($A$2:$A244,3)</f>
        <v>44</v>
      </c>
      <c r="F244">
        <f ca="1">COUNTIF($A$2:$A244,4)</f>
        <v>39</v>
      </c>
      <c r="G244">
        <f ca="1">COUNTIF($A$2:$A244,5)</f>
        <v>47</v>
      </c>
      <c r="H244">
        <f ca="1">COUNTIF($A$2:$A244,6)</f>
        <v>36</v>
      </c>
      <c r="I244">
        <f t="shared" ca="1" si="23"/>
        <v>12.757201646090536</v>
      </c>
      <c r="J244">
        <f t="shared" ca="1" si="24"/>
        <v>18.930041152263374</v>
      </c>
      <c r="K244">
        <f t="shared" ca="1" si="25"/>
        <v>18.106995884773664</v>
      </c>
      <c r="L244">
        <f t="shared" ca="1" si="26"/>
        <v>16.049382716049383</v>
      </c>
      <c r="M244">
        <f t="shared" ca="1" si="27"/>
        <v>19.34156378600823</v>
      </c>
      <c r="N244">
        <f t="shared" ca="1" si="28"/>
        <v>14.814814814814813</v>
      </c>
    </row>
    <row r="245" spans="1:14" x14ac:dyDescent="0.3">
      <c r="A245">
        <f t="shared" ca="1" si="22"/>
        <v>1</v>
      </c>
      <c r="C245">
        <f ca="1">COUNTIF(A$2:A245,1)</f>
        <v>32</v>
      </c>
      <c r="D245">
        <f ca="1">COUNTIF($A$2:$A245,2)</f>
        <v>46</v>
      </c>
      <c r="E245">
        <f ca="1">COUNTIF($A$2:$A245,3)</f>
        <v>44</v>
      </c>
      <c r="F245">
        <f ca="1">COUNTIF($A$2:$A245,4)</f>
        <v>39</v>
      </c>
      <c r="G245">
        <f ca="1">COUNTIF($A$2:$A245,5)</f>
        <v>47</v>
      </c>
      <c r="H245">
        <f ca="1">COUNTIF($A$2:$A245,6)</f>
        <v>36</v>
      </c>
      <c r="I245">
        <f t="shared" ca="1" si="23"/>
        <v>13.114754098360656</v>
      </c>
      <c r="J245">
        <f t="shared" ca="1" si="24"/>
        <v>18.852459016393443</v>
      </c>
      <c r="K245">
        <f t="shared" ca="1" si="25"/>
        <v>18.032786885245901</v>
      </c>
      <c r="L245">
        <f t="shared" ca="1" si="26"/>
        <v>15.983606557377051</v>
      </c>
      <c r="M245">
        <f t="shared" ca="1" si="27"/>
        <v>19.262295081967213</v>
      </c>
      <c r="N245">
        <f t="shared" ca="1" si="28"/>
        <v>14.754098360655737</v>
      </c>
    </row>
    <row r="246" spans="1:14" x14ac:dyDescent="0.3">
      <c r="A246">
        <f t="shared" ca="1" si="22"/>
        <v>2</v>
      </c>
      <c r="C246">
        <f ca="1">COUNTIF(A$2:A246,1)</f>
        <v>32</v>
      </c>
      <c r="D246">
        <f ca="1">COUNTIF($A$2:$A246,2)</f>
        <v>47</v>
      </c>
      <c r="E246">
        <f ca="1">COUNTIF($A$2:$A246,3)</f>
        <v>44</v>
      </c>
      <c r="F246">
        <f ca="1">COUNTIF($A$2:$A246,4)</f>
        <v>39</v>
      </c>
      <c r="G246">
        <f ca="1">COUNTIF($A$2:$A246,5)</f>
        <v>47</v>
      </c>
      <c r="H246">
        <f ca="1">COUNTIF($A$2:$A246,6)</f>
        <v>36</v>
      </c>
      <c r="I246">
        <f t="shared" ca="1" si="23"/>
        <v>13.061224489795919</v>
      </c>
      <c r="J246">
        <f t="shared" ca="1" si="24"/>
        <v>19.183673469387756</v>
      </c>
      <c r="K246">
        <f t="shared" ca="1" si="25"/>
        <v>17.959183673469386</v>
      </c>
      <c r="L246">
        <f t="shared" ca="1" si="26"/>
        <v>15.918367346938775</v>
      </c>
      <c r="M246">
        <f t="shared" ca="1" si="27"/>
        <v>19.183673469387756</v>
      </c>
      <c r="N246">
        <f t="shared" ca="1" si="28"/>
        <v>14.69387755102041</v>
      </c>
    </row>
    <row r="247" spans="1:14" x14ac:dyDescent="0.3">
      <c r="A247">
        <f t="shared" ca="1" si="22"/>
        <v>5</v>
      </c>
      <c r="C247">
        <f ca="1">COUNTIF(A$2:A247,1)</f>
        <v>32</v>
      </c>
      <c r="D247">
        <f ca="1">COUNTIF($A$2:$A247,2)</f>
        <v>47</v>
      </c>
      <c r="E247">
        <f ca="1">COUNTIF($A$2:$A247,3)</f>
        <v>44</v>
      </c>
      <c r="F247">
        <f ca="1">COUNTIF($A$2:$A247,4)</f>
        <v>39</v>
      </c>
      <c r="G247">
        <f ca="1">COUNTIF($A$2:$A247,5)</f>
        <v>48</v>
      </c>
      <c r="H247">
        <f ca="1">COUNTIF($A$2:$A247,6)</f>
        <v>36</v>
      </c>
      <c r="I247">
        <f t="shared" ca="1" si="23"/>
        <v>13.008130081300814</v>
      </c>
      <c r="J247">
        <f t="shared" ca="1" si="24"/>
        <v>19.105691056910569</v>
      </c>
      <c r="K247">
        <f t="shared" ca="1" si="25"/>
        <v>17.886178861788618</v>
      </c>
      <c r="L247">
        <f t="shared" ca="1" si="26"/>
        <v>15.853658536585366</v>
      </c>
      <c r="M247">
        <f t="shared" ca="1" si="27"/>
        <v>19.512195121951219</v>
      </c>
      <c r="N247">
        <f t="shared" ca="1" si="28"/>
        <v>14.634146341463413</v>
      </c>
    </row>
    <row r="248" spans="1:14" x14ac:dyDescent="0.3">
      <c r="A248">
        <f t="shared" ca="1" si="22"/>
        <v>4</v>
      </c>
      <c r="C248">
        <f ca="1">COUNTIF(A$2:A248,1)</f>
        <v>32</v>
      </c>
      <c r="D248">
        <f ca="1">COUNTIF($A$2:$A248,2)</f>
        <v>47</v>
      </c>
      <c r="E248">
        <f ca="1">COUNTIF($A$2:$A248,3)</f>
        <v>44</v>
      </c>
      <c r="F248">
        <f ca="1">COUNTIF($A$2:$A248,4)</f>
        <v>40</v>
      </c>
      <c r="G248">
        <f ca="1">COUNTIF($A$2:$A248,5)</f>
        <v>48</v>
      </c>
      <c r="H248">
        <f ca="1">COUNTIF($A$2:$A248,6)</f>
        <v>36</v>
      </c>
      <c r="I248">
        <f t="shared" ca="1" si="23"/>
        <v>12.955465587044534</v>
      </c>
      <c r="J248">
        <f t="shared" ca="1" si="24"/>
        <v>19.02834008097166</v>
      </c>
      <c r="K248">
        <f t="shared" ca="1" si="25"/>
        <v>17.813765182186234</v>
      </c>
      <c r="L248">
        <f t="shared" ca="1" si="26"/>
        <v>16.194331983805668</v>
      </c>
      <c r="M248">
        <f t="shared" ca="1" si="27"/>
        <v>19.4331983805668</v>
      </c>
      <c r="N248">
        <f t="shared" ca="1" si="28"/>
        <v>14.5748987854251</v>
      </c>
    </row>
    <row r="249" spans="1:14" x14ac:dyDescent="0.3">
      <c r="A249">
        <f t="shared" ca="1" si="22"/>
        <v>1</v>
      </c>
      <c r="C249">
        <f ca="1">COUNTIF(A$2:A249,1)</f>
        <v>33</v>
      </c>
      <c r="D249">
        <f ca="1">COUNTIF($A$2:$A249,2)</f>
        <v>47</v>
      </c>
      <c r="E249">
        <f ca="1">COUNTIF($A$2:$A249,3)</f>
        <v>44</v>
      </c>
      <c r="F249">
        <f ca="1">COUNTIF($A$2:$A249,4)</f>
        <v>40</v>
      </c>
      <c r="G249">
        <f ca="1">COUNTIF($A$2:$A249,5)</f>
        <v>48</v>
      </c>
      <c r="H249">
        <f ca="1">COUNTIF($A$2:$A249,6)</f>
        <v>36</v>
      </c>
      <c r="I249">
        <f t="shared" ca="1" si="23"/>
        <v>13.306451612903224</v>
      </c>
      <c r="J249">
        <f t="shared" ca="1" si="24"/>
        <v>18.951612903225808</v>
      </c>
      <c r="K249">
        <f t="shared" ca="1" si="25"/>
        <v>17.741935483870968</v>
      </c>
      <c r="L249">
        <f t="shared" ca="1" si="26"/>
        <v>16.129032258064516</v>
      </c>
      <c r="M249">
        <f t="shared" ca="1" si="27"/>
        <v>19.35483870967742</v>
      </c>
      <c r="N249">
        <f t="shared" ca="1" si="28"/>
        <v>14.516129032258066</v>
      </c>
    </row>
    <row r="250" spans="1:14" x14ac:dyDescent="0.3">
      <c r="A250">
        <f t="shared" ca="1" si="22"/>
        <v>4</v>
      </c>
      <c r="C250">
        <f ca="1">COUNTIF(A$2:A250,1)</f>
        <v>33</v>
      </c>
      <c r="D250">
        <f ca="1">COUNTIF($A$2:$A250,2)</f>
        <v>47</v>
      </c>
      <c r="E250">
        <f ca="1">COUNTIF($A$2:$A250,3)</f>
        <v>44</v>
      </c>
      <c r="F250">
        <f ca="1">COUNTIF($A$2:$A250,4)</f>
        <v>41</v>
      </c>
      <c r="G250">
        <f ca="1">COUNTIF($A$2:$A250,5)</f>
        <v>48</v>
      </c>
      <c r="H250">
        <f ca="1">COUNTIF($A$2:$A250,6)</f>
        <v>36</v>
      </c>
      <c r="I250">
        <f t="shared" ca="1" si="23"/>
        <v>13.253012048192772</v>
      </c>
      <c r="J250">
        <f t="shared" ca="1" si="24"/>
        <v>18.875502008032129</v>
      </c>
      <c r="K250">
        <f t="shared" ca="1" si="25"/>
        <v>17.670682730923694</v>
      </c>
      <c r="L250">
        <f t="shared" ca="1" si="26"/>
        <v>16.46586345381526</v>
      </c>
      <c r="M250">
        <f t="shared" ca="1" si="27"/>
        <v>19.277108433734941</v>
      </c>
      <c r="N250">
        <f t="shared" ca="1" si="28"/>
        <v>14.457831325301203</v>
      </c>
    </row>
    <row r="251" spans="1:14" x14ac:dyDescent="0.3">
      <c r="A251">
        <f t="shared" ca="1" si="22"/>
        <v>4</v>
      </c>
      <c r="C251">
        <f ca="1">COUNTIF(A$2:A251,1)</f>
        <v>33</v>
      </c>
      <c r="D251">
        <f ca="1">COUNTIF($A$2:$A251,2)</f>
        <v>47</v>
      </c>
      <c r="E251">
        <f ca="1">COUNTIF($A$2:$A251,3)</f>
        <v>44</v>
      </c>
      <c r="F251">
        <f ca="1">COUNTIF($A$2:$A251,4)</f>
        <v>42</v>
      </c>
      <c r="G251">
        <f ca="1">COUNTIF($A$2:$A251,5)</f>
        <v>48</v>
      </c>
      <c r="H251">
        <f ca="1">COUNTIF($A$2:$A251,6)</f>
        <v>36</v>
      </c>
      <c r="I251">
        <f t="shared" ca="1" si="23"/>
        <v>13.200000000000001</v>
      </c>
      <c r="J251">
        <f t="shared" ca="1" si="24"/>
        <v>18.8</v>
      </c>
      <c r="K251">
        <f t="shared" ca="1" si="25"/>
        <v>17.599999999999998</v>
      </c>
      <c r="L251">
        <f t="shared" ca="1" si="26"/>
        <v>16.8</v>
      </c>
      <c r="M251">
        <f t="shared" ca="1" si="27"/>
        <v>19.2</v>
      </c>
      <c r="N251">
        <f t="shared" ca="1" si="28"/>
        <v>14.399999999999999</v>
      </c>
    </row>
    <row r="252" spans="1:14" x14ac:dyDescent="0.3">
      <c r="A252">
        <f t="shared" ca="1" si="22"/>
        <v>3</v>
      </c>
      <c r="C252">
        <f ca="1">COUNTIF(A$2:A252,1)</f>
        <v>33</v>
      </c>
      <c r="D252">
        <f ca="1">COUNTIF($A$2:$A252,2)</f>
        <v>47</v>
      </c>
      <c r="E252">
        <f ca="1">COUNTIF($A$2:$A252,3)</f>
        <v>45</v>
      </c>
      <c r="F252">
        <f ca="1">COUNTIF($A$2:$A252,4)</f>
        <v>42</v>
      </c>
      <c r="G252">
        <f ca="1">COUNTIF($A$2:$A252,5)</f>
        <v>48</v>
      </c>
      <c r="H252">
        <f ca="1">COUNTIF($A$2:$A252,6)</f>
        <v>36</v>
      </c>
      <c r="I252">
        <f t="shared" ca="1" si="23"/>
        <v>13.147410358565736</v>
      </c>
      <c r="J252">
        <f t="shared" ca="1" si="24"/>
        <v>18.725099601593627</v>
      </c>
      <c r="K252">
        <f t="shared" ca="1" si="25"/>
        <v>17.928286852589643</v>
      </c>
      <c r="L252">
        <f t="shared" ca="1" si="26"/>
        <v>16.733067729083665</v>
      </c>
      <c r="M252">
        <f t="shared" ca="1" si="27"/>
        <v>19.123505976095618</v>
      </c>
      <c r="N252">
        <f t="shared" ca="1" si="28"/>
        <v>14.342629482071715</v>
      </c>
    </row>
    <row r="253" spans="1:14" x14ac:dyDescent="0.3">
      <c r="A253">
        <f t="shared" ca="1" si="22"/>
        <v>6</v>
      </c>
      <c r="C253">
        <f ca="1">COUNTIF(A$2:A253,1)</f>
        <v>33</v>
      </c>
      <c r="D253">
        <f ca="1">COUNTIF($A$2:$A253,2)</f>
        <v>47</v>
      </c>
      <c r="E253">
        <f ca="1">COUNTIF($A$2:$A253,3)</f>
        <v>45</v>
      </c>
      <c r="F253">
        <f ca="1">COUNTIF($A$2:$A253,4)</f>
        <v>42</v>
      </c>
      <c r="G253">
        <f ca="1">COUNTIF($A$2:$A253,5)</f>
        <v>48</v>
      </c>
      <c r="H253">
        <f ca="1">COUNTIF($A$2:$A253,6)</f>
        <v>37</v>
      </c>
      <c r="I253">
        <f t="shared" ca="1" si="23"/>
        <v>13.095238095238097</v>
      </c>
      <c r="J253">
        <f t="shared" ca="1" si="24"/>
        <v>18.650793650793652</v>
      </c>
      <c r="K253">
        <f t="shared" ca="1" si="25"/>
        <v>17.857142857142858</v>
      </c>
      <c r="L253">
        <f t="shared" ca="1" si="26"/>
        <v>16.666666666666664</v>
      </c>
      <c r="M253">
        <f t="shared" ca="1" si="27"/>
        <v>19.047619047619047</v>
      </c>
      <c r="N253">
        <f t="shared" ca="1" si="28"/>
        <v>14.682539682539684</v>
      </c>
    </row>
    <row r="254" spans="1:14" x14ac:dyDescent="0.3">
      <c r="A254">
        <f t="shared" ca="1" si="22"/>
        <v>5</v>
      </c>
      <c r="C254">
        <f ca="1">COUNTIF(A$2:A254,1)</f>
        <v>33</v>
      </c>
      <c r="D254">
        <f ca="1">COUNTIF($A$2:$A254,2)</f>
        <v>47</v>
      </c>
      <c r="E254">
        <f ca="1">COUNTIF($A$2:$A254,3)</f>
        <v>45</v>
      </c>
      <c r="F254">
        <f ca="1">COUNTIF($A$2:$A254,4)</f>
        <v>42</v>
      </c>
      <c r="G254">
        <f ca="1">COUNTIF($A$2:$A254,5)</f>
        <v>49</v>
      </c>
      <c r="H254">
        <f ca="1">COUNTIF($A$2:$A254,6)</f>
        <v>37</v>
      </c>
      <c r="I254">
        <f t="shared" ca="1" si="23"/>
        <v>13.043478260869565</v>
      </c>
      <c r="J254">
        <f t="shared" ca="1" si="24"/>
        <v>18.57707509881423</v>
      </c>
      <c r="K254">
        <f t="shared" ca="1" si="25"/>
        <v>17.786561264822133</v>
      </c>
      <c r="L254">
        <f t="shared" ca="1" si="26"/>
        <v>16.600790513833992</v>
      </c>
      <c r="M254">
        <f t="shared" ca="1" si="27"/>
        <v>19.367588932806324</v>
      </c>
      <c r="N254">
        <f t="shared" ca="1" si="28"/>
        <v>14.624505928853754</v>
      </c>
    </row>
    <row r="255" spans="1:14" x14ac:dyDescent="0.3">
      <c r="A255">
        <f t="shared" ca="1" si="22"/>
        <v>4</v>
      </c>
      <c r="C255">
        <f ca="1">COUNTIF(A$2:A255,1)</f>
        <v>33</v>
      </c>
      <c r="D255">
        <f ca="1">COUNTIF($A$2:$A255,2)</f>
        <v>47</v>
      </c>
      <c r="E255">
        <f ca="1">COUNTIF($A$2:$A255,3)</f>
        <v>45</v>
      </c>
      <c r="F255">
        <f ca="1">COUNTIF($A$2:$A255,4)</f>
        <v>43</v>
      </c>
      <c r="G255">
        <f ca="1">COUNTIF($A$2:$A255,5)</f>
        <v>49</v>
      </c>
      <c r="H255">
        <f ca="1">COUNTIF($A$2:$A255,6)</f>
        <v>37</v>
      </c>
      <c r="I255">
        <f t="shared" ca="1" si="23"/>
        <v>12.992125984251967</v>
      </c>
      <c r="J255">
        <f t="shared" ca="1" si="24"/>
        <v>18.503937007874015</v>
      </c>
      <c r="K255">
        <f t="shared" ca="1" si="25"/>
        <v>17.716535433070867</v>
      </c>
      <c r="L255">
        <f t="shared" ca="1" si="26"/>
        <v>16.929133858267718</v>
      </c>
      <c r="M255">
        <f t="shared" ca="1" si="27"/>
        <v>19.291338582677163</v>
      </c>
      <c r="N255">
        <f t="shared" ca="1" si="28"/>
        <v>14.566929133858267</v>
      </c>
    </row>
    <row r="256" spans="1:14" x14ac:dyDescent="0.3">
      <c r="A256">
        <f t="shared" ca="1" si="22"/>
        <v>3</v>
      </c>
      <c r="C256">
        <f ca="1">COUNTIF(A$2:A256,1)</f>
        <v>33</v>
      </c>
      <c r="D256">
        <f ca="1">COUNTIF($A$2:$A256,2)</f>
        <v>47</v>
      </c>
      <c r="E256">
        <f ca="1">COUNTIF($A$2:$A256,3)</f>
        <v>46</v>
      </c>
      <c r="F256">
        <f ca="1">COUNTIF($A$2:$A256,4)</f>
        <v>43</v>
      </c>
      <c r="G256">
        <f ca="1">COUNTIF($A$2:$A256,5)</f>
        <v>49</v>
      </c>
      <c r="H256">
        <f ca="1">COUNTIF($A$2:$A256,6)</f>
        <v>37</v>
      </c>
      <c r="I256">
        <f t="shared" ca="1" si="23"/>
        <v>12.941176470588237</v>
      </c>
      <c r="J256">
        <f t="shared" ca="1" si="24"/>
        <v>18.43137254901961</v>
      </c>
      <c r="K256">
        <f t="shared" ca="1" si="25"/>
        <v>18.03921568627451</v>
      </c>
      <c r="L256">
        <f t="shared" ca="1" si="26"/>
        <v>16.862745098039216</v>
      </c>
      <c r="M256">
        <f t="shared" ca="1" si="27"/>
        <v>19.215686274509807</v>
      </c>
      <c r="N256">
        <f t="shared" ca="1" si="28"/>
        <v>14.509803921568629</v>
      </c>
    </row>
    <row r="257" spans="1:14" x14ac:dyDescent="0.3">
      <c r="A257">
        <f t="shared" ca="1" si="22"/>
        <v>4</v>
      </c>
      <c r="C257">
        <f ca="1">COUNTIF(A$2:A257,1)</f>
        <v>33</v>
      </c>
      <c r="D257">
        <f ca="1">COUNTIF($A$2:$A257,2)</f>
        <v>47</v>
      </c>
      <c r="E257">
        <f ca="1">COUNTIF($A$2:$A257,3)</f>
        <v>46</v>
      </c>
      <c r="F257">
        <f ca="1">COUNTIF($A$2:$A257,4)</f>
        <v>44</v>
      </c>
      <c r="G257">
        <f ca="1">COUNTIF($A$2:$A257,5)</f>
        <v>49</v>
      </c>
      <c r="H257">
        <f ca="1">COUNTIF($A$2:$A257,6)</f>
        <v>37</v>
      </c>
      <c r="I257">
        <f t="shared" ca="1" si="23"/>
        <v>12.890625</v>
      </c>
      <c r="J257">
        <f t="shared" ca="1" si="24"/>
        <v>18.359375</v>
      </c>
      <c r="K257">
        <f t="shared" ca="1" si="25"/>
        <v>17.96875</v>
      </c>
      <c r="L257">
        <f t="shared" ca="1" si="26"/>
        <v>17.1875</v>
      </c>
      <c r="M257">
        <f t="shared" ca="1" si="27"/>
        <v>19.140625</v>
      </c>
      <c r="N257">
        <f t="shared" ca="1" si="28"/>
        <v>14.453125</v>
      </c>
    </row>
    <row r="258" spans="1:14" x14ac:dyDescent="0.3">
      <c r="A258">
        <f t="shared" ca="1" si="22"/>
        <v>2</v>
      </c>
      <c r="C258">
        <f ca="1">COUNTIF(A$2:A258,1)</f>
        <v>33</v>
      </c>
      <c r="D258">
        <f ca="1">COUNTIF($A$2:$A258,2)</f>
        <v>48</v>
      </c>
      <c r="E258">
        <f ca="1">COUNTIF($A$2:$A258,3)</f>
        <v>46</v>
      </c>
      <c r="F258">
        <f ca="1">COUNTIF($A$2:$A258,4)</f>
        <v>44</v>
      </c>
      <c r="G258">
        <f ca="1">COUNTIF($A$2:$A258,5)</f>
        <v>49</v>
      </c>
      <c r="H258">
        <f ca="1">COUNTIF($A$2:$A258,6)</f>
        <v>37</v>
      </c>
      <c r="I258">
        <f t="shared" ca="1" si="23"/>
        <v>12.840466926070038</v>
      </c>
      <c r="J258">
        <f t="shared" ca="1" si="24"/>
        <v>18.677042801556421</v>
      </c>
      <c r="K258">
        <f t="shared" ca="1" si="25"/>
        <v>17.898832684824903</v>
      </c>
      <c r="L258">
        <f t="shared" ca="1" si="26"/>
        <v>17.120622568093385</v>
      </c>
      <c r="M258">
        <f t="shared" ca="1" si="27"/>
        <v>19.066147859922179</v>
      </c>
      <c r="N258">
        <f t="shared" ca="1" si="28"/>
        <v>14.396887159533073</v>
      </c>
    </row>
    <row r="259" spans="1:14" x14ac:dyDescent="0.3">
      <c r="A259">
        <f t="shared" ref="A259:A322" ca="1" si="29">ROUNDDOWN(RAND()*6+1,0)</f>
        <v>3</v>
      </c>
      <c r="C259">
        <f ca="1">COUNTIF(A$2:A259,1)</f>
        <v>33</v>
      </c>
      <c r="D259">
        <f ca="1">COUNTIF($A$2:$A259,2)</f>
        <v>48</v>
      </c>
      <c r="E259">
        <f ca="1">COUNTIF($A$2:$A259,3)</f>
        <v>47</v>
      </c>
      <c r="F259">
        <f ca="1">COUNTIF($A$2:$A259,4)</f>
        <v>44</v>
      </c>
      <c r="G259">
        <f ca="1">COUNTIF($A$2:$A259,5)</f>
        <v>49</v>
      </c>
      <c r="H259">
        <f ca="1">COUNTIF($A$2:$A259,6)</f>
        <v>37</v>
      </c>
      <c r="I259">
        <f t="shared" ref="I259:I322" ca="1" si="30">C259/(SUM($C259:$H259))*100</f>
        <v>12.790697674418606</v>
      </c>
      <c r="J259">
        <f t="shared" ref="J259:J322" ca="1" si="31">D259/(SUM($C259:$H259))*100</f>
        <v>18.604651162790699</v>
      </c>
      <c r="K259">
        <f t="shared" ref="K259:K322" ca="1" si="32">E259/(SUM($C259:$H259))*100</f>
        <v>18.217054263565892</v>
      </c>
      <c r="L259">
        <f t="shared" ref="L259:L322" ca="1" si="33">F259/(SUM($C259:$H259))*100</f>
        <v>17.054263565891471</v>
      </c>
      <c r="M259">
        <f t="shared" ref="M259:M322" ca="1" si="34">G259/(SUM($C259:$H259))*100</f>
        <v>18.992248062015506</v>
      </c>
      <c r="N259">
        <f t="shared" ref="N259:N322" ca="1" si="35">H259/(SUM($C259:$H259))*100</f>
        <v>14.34108527131783</v>
      </c>
    </row>
    <row r="260" spans="1:14" x14ac:dyDescent="0.3">
      <c r="A260">
        <f t="shared" ca="1" si="29"/>
        <v>1</v>
      </c>
      <c r="C260">
        <f ca="1">COUNTIF(A$2:A260,1)</f>
        <v>34</v>
      </c>
      <c r="D260">
        <f ca="1">COUNTIF($A$2:$A260,2)</f>
        <v>48</v>
      </c>
      <c r="E260">
        <f ca="1">COUNTIF($A$2:$A260,3)</f>
        <v>47</v>
      </c>
      <c r="F260">
        <f ca="1">COUNTIF($A$2:$A260,4)</f>
        <v>44</v>
      </c>
      <c r="G260">
        <f ca="1">COUNTIF($A$2:$A260,5)</f>
        <v>49</v>
      </c>
      <c r="H260">
        <f ca="1">COUNTIF($A$2:$A260,6)</f>
        <v>37</v>
      </c>
      <c r="I260">
        <f t="shared" ca="1" si="30"/>
        <v>13.127413127413126</v>
      </c>
      <c r="J260">
        <f t="shared" ca="1" si="31"/>
        <v>18.532818532818531</v>
      </c>
      <c r="K260">
        <f t="shared" ca="1" si="32"/>
        <v>18.146718146718147</v>
      </c>
      <c r="L260">
        <f t="shared" ca="1" si="33"/>
        <v>16.988416988416986</v>
      </c>
      <c r="M260">
        <f t="shared" ca="1" si="34"/>
        <v>18.918918918918919</v>
      </c>
      <c r="N260">
        <f t="shared" ca="1" si="35"/>
        <v>14.285714285714285</v>
      </c>
    </row>
    <row r="261" spans="1:14" x14ac:dyDescent="0.3">
      <c r="A261">
        <f t="shared" ca="1" si="29"/>
        <v>1</v>
      </c>
      <c r="C261">
        <f ca="1">COUNTIF(A$2:A261,1)</f>
        <v>35</v>
      </c>
      <c r="D261">
        <f ca="1">COUNTIF($A$2:$A261,2)</f>
        <v>48</v>
      </c>
      <c r="E261">
        <f ca="1">COUNTIF($A$2:$A261,3)</f>
        <v>47</v>
      </c>
      <c r="F261">
        <f ca="1">COUNTIF($A$2:$A261,4)</f>
        <v>44</v>
      </c>
      <c r="G261">
        <f ca="1">COUNTIF($A$2:$A261,5)</f>
        <v>49</v>
      </c>
      <c r="H261">
        <f ca="1">COUNTIF($A$2:$A261,6)</f>
        <v>37</v>
      </c>
      <c r="I261">
        <f t="shared" ca="1" si="30"/>
        <v>13.461538461538462</v>
      </c>
      <c r="J261">
        <f t="shared" ca="1" si="31"/>
        <v>18.461538461538463</v>
      </c>
      <c r="K261">
        <f t="shared" ca="1" si="32"/>
        <v>18.076923076923077</v>
      </c>
      <c r="L261">
        <f t="shared" ca="1" si="33"/>
        <v>16.923076923076923</v>
      </c>
      <c r="M261">
        <f t="shared" ca="1" si="34"/>
        <v>18.846153846153847</v>
      </c>
      <c r="N261">
        <f t="shared" ca="1" si="35"/>
        <v>14.23076923076923</v>
      </c>
    </row>
    <row r="262" spans="1:14" x14ac:dyDescent="0.3">
      <c r="A262">
        <f t="shared" ca="1" si="29"/>
        <v>5</v>
      </c>
      <c r="C262">
        <f ca="1">COUNTIF(A$2:A262,1)</f>
        <v>35</v>
      </c>
      <c r="D262">
        <f ca="1">COUNTIF($A$2:$A262,2)</f>
        <v>48</v>
      </c>
      <c r="E262">
        <f ca="1">COUNTIF($A$2:$A262,3)</f>
        <v>47</v>
      </c>
      <c r="F262">
        <f ca="1">COUNTIF($A$2:$A262,4)</f>
        <v>44</v>
      </c>
      <c r="G262">
        <f ca="1">COUNTIF($A$2:$A262,5)</f>
        <v>50</v>
      </c>
      <c r="H262">
        <f ca="1">COUNTIF($A$2:$A262,6)</f>
        <v>37</v>
      </c>
      <c r="I262">
        <f t="shared" ca="1" si="30"/>
        <v>13.409961685823754</v>
      </c>
      <c r="J262">
        <f t="shared" ca="1" si="31"/>
        <v>18.390804597701148</v>
      </c>
      <c r="K262">
        <f t="shared" ca="1" si="32"/>
        <v>18.007662835249043</v>
      </c>
      <c r="L262">
        <f t="shared" ca="1" si="33"/>
        <v>16.85823754789272</v>
      </c>
      <c r="M262">
        <f t="shared" ca="1" si="34"/>
        <v>19.157088122605366</v>
      </c>
      <c r="N262">
        <f t="shared" ca="1" si="35"/>
        <v>14.17624521072797</v>
      </c>
    </row>
    <row r="263" spans="1:14" x14ac:dyDescent="0.3">
      <c r="A263">
        <f t="shared" ca="1" si="29"/>
        <v>5</v>
      </c>
      <c r="C263">
        <f ca="1">COUNTIF(A$2:A263,1)</f>
        <v>35</v>
      </c>
      <c r="D263">
        <f ca="1">COUNTIF($A$2:$A263,2)</f>
        <v>48</v>
      </c>
      <c r="E263">
        <f ca="1">COUNTIF($A$2:$A263,3)</f>
        <v>47</v>
      </c>
      <c r="F263">
        <f ca="1">COUNTIF($A$2:$A263,4)</f>
        <v>44</v>
      </c>
      <c r="G263">
        <f ca="1">COUNTIF($A$2:$A263,5)</f>
        <v>51</v>
      </c>
      <c r="H263">
        <f ca="1">COUNTIF($A$2:$A263,6)</f>
        <v>37</v>
      </c>
      <c r="I263">
        <f t="shared" ca="1" si="30"/>
        <v>13.358778625954198</v>
      </c>
      <c r="J263">
        <f t="shared" ca="1" si="31"/>
        <v>18.320610687022899</v>
      </c>
      <c r="K263">
        <f t="shared" ca="1" si="32"/>
        <v>17.938931297709924</v>
      </c>
      <c r="L263">
        <f t="shared" ca="1" si="33"/>
        <v>16.793893129770993</v>
      </c>
      <c r="M263">
        <f t="shared" ca="1" si="34"/>
        <v>19.465648854961831</v>
      </c>
      <c r="N263">
        <f t="shared" ca="1" si="35"/>
        <v>14.122137404580155</v>
      </c>
    </row>
    <row r="264" spans="1:14" x14ac:dyDescent="0.3">
      <c r="A264">
        <f t="shared" ca="1" si="29"/>
        <v>3</v>
      </c>
      <c r="C264">
        <f ca="1">COUNTIF(A$2:A264,1)</f>
        <v>35</v>
      </c>
      <c r="D264">
        <f ca="1">COUNTIF($A$2:$A264,2)</f>
        <v>48</v>
      </c>
      <c r="E264">
        <f ca="1">COUNTIF($A$2:$A264,3)</f>
        <v>48</v>
      </c>
      <c r="F264">
        <f ca="1">COUNTIF($A$2:$A264,4)</f>
        <v>44</v>
      </c>
      <c r="G264">
        <f ca="1">COUNTIF($A$2:$A264,5)</f>
        <v>51</v>
      </c>
      <c r="H264">
        <f ca="1">COUNTIF($A$2:$A264,6)</f>
        <v>37</v>
      </c>
      <c r="I264">
        <f t="shared" ca="1" si="30"/>
        <v>13.307984790874524</v>
      </c>
      <c r="J264">
        <f t="shared" ca="1" si="31"/>
        <v>18.250950570342205</v>
      </c>
      <c r="K264">
        <f t="shared" ca="1" si="32"/>
        <v>18.250950570342205</v>
      </c>
      <c r="L264">
        <f t="shared" ca="1" si="33"/>
        <v>16.730038022813687</v>
      </c>
      <c r="M264">
        <f t="shared" ca="1" si="34"/>
        <v>19.391634980988592</v>
      </c>
      <c r="N264">
        <f t="shared" ca="1" si="35"/>
        <v>14.068441064638785</v>
      </c>
    </row>
    <row r="265" spans="1:14" x14ac:dyDescent="0.3">
      <c r="A265">
        <f t="shared" ca="1" si="29"/>
        <v>2</v>
      </c>
      <c r="C265">
        <f ca="1">COUNTIF(A$2:A265,1)</f>
        <v>35</v>
      </c>
      <c r="D265">
        <f ca="1">COUNTIF($A$2:$A265,2)</f>
        <v>49</v>
      </c>
      <c r="E265">
        <f ca="1">COUNTIF($A$2:$A265,3)</f>
        <v>48</v>
      </c>
      <c r="F265">
        <f ca="1">COUNTIF($A$2:$A265,4)</f>
        <v>44</v>
      </c>
      <c r="G265">
        <f ca="1">COUNTIF($A$2:$A265,5)</f>
        <v>51</v>
      </c>
      <c r="H265">
        <f ca="1">COUNTIF($A$2:$A265,6)</f>
        <v>37</v>
      </c>
      <c r="I265">
        <f t="shared" ca="1" si="30"/>
        <v>13.257575757575758</v>
      </c>
      <c r="J265">
        <f t="shared" ca="1" si="31"/>
        <v>18.560606060606062</v>
      </c>
      <c r="K265">
        <f t="shared" ca="1" si="32"/>
        <v>18.181818181818183</v>
      </c>
      <c r="L265">
        <f t="shared" ca="1" si="33"/>
        <v>16.666666666666664</v>
      </c>
      <c r="M265">
        <f t="shared" ca="1" si="34"/>
        <v>19.318181818181817</v>
      </c>
      <c r="N265">
        <f t="shared" ca="1" si="35"/>
        <v>14.015151515151514</v>
      </c>
    </row>
    <row r="266" spans="1:14" x14ac:dyDescent="0.3">
      <c r="A266">
        <f t="shared" ca="1" si="29"/>
        <v>3</v>
      </c>
      <c r="C266">
        <f ca="1">COUNTIF(A$2:A266,1)</f>
        <v>35</v>
      </c>
      <c r="D266">
        <f ca="1">COUNTIF($A$2:$A266,2)</f>
        <v>49</v>
      </c>
      <c r="E266">
        <f ca="1">COUNTIF($A$2:$A266,3)</f>
        <v>49</v>
      </c>
      <c r="F266">
        <f ca="1">COUNTIF($A$2:$A266,4)</f>
        <v>44</v>
      </c>
      <c r="G266">
        <f ca="1">COUNTIF($A$2:$A266,5)</f>
        <v>51</v>
      </c>
      <c r="H266">
        <f ca="1">COUNTIF($A$2:$A266,6)</f>
        <v>37</v>
      </c>
      <c r="I266">
        <f t="shared" ca="1" si="30"/>
        <v>13.20754716981132</v>
      </c>
      <c r="J266">
        <f t="shared" ca="1" si="31"/>
        <v>18.490566037735849</v>
      </c>
      <c r="K266">
        <f t="shared" ca="1" si="32"/>
        <v>18.490566037735849</v>
      </c>
      <c r="L266">
        <f t="shared" ca="1" si="33"/>
        <v>16.60377358490566</v>
      </c>
      <c r="M266">
        <f t="shared" ca="1" si="34"/>
        <v>19.245283018867926</v>
      </c>
      <c r="N266">
        <f t="shared" ca="1" si="35"/>
        <v>13.962264150943396</v>
      </c>
    </row>
    <row r="267" spans="1:14" x14ac:dyDescent="0.3">
      <c r="A267">
        <f t="shared" ca="1" si="29"/>
        <v>4</v>
      </c>
      <c r="C267">
        <f ca="1">COUNTIF(A$2:A267,1)</f>
        <v>35</v>
      </c>
      <c r="D267">
        <f ca="1">COUNTIF($A$2:$A267,2)</f>
        <v>49</v>
      </c>
      <c r="E267">
        <f ca="1">COUNTIF($A$2:$A267,3)</f>
        <v>49</v>
      </c>
      <c r="F267">
        <f ca="1">COUNTIF($A$2:$A267,4)</f>
        <v>45</v>
      </c>
      <c r="G267">
        <f ca="1">COUNTIF($A$2:$A267,5)</f>
        <v>51</v>
      </c>
      <c r="H267">
        <f ca="1">COUNTIF($A$2:$A267,6)</f>
        <v>37</v>
      </c>
      <c r="I267">
        <f t="shared" ca="1" si="30"/>
        <v>13.157894736842104</v>
      </c>
      <c r="J267">
        <f t="shared" ca="1" si="31"/>
        <v>18.421052631578945</v>
      </c>
      <c r="K267">
        <f t="shared" ca="1" si="32"/>
        <v>18.421052631578945</v>
      </c>
      <c r="L267">
        <f t="shared" ca="1" si="33"/>
        <v>16.917293233082706</v>
      </c>
      <c r="M267">
        <f t="shared" ca="1" si="34"/>
        <v>19.172932330827066</v>
      </c>
      <c r="N267">
        <f t="shared" ca="1" si="35"/>
        <v>13.909774436090224</v>
      </c>
    </row>
    <row r="268" spans="1:14" x14ac:dyDescent="0.3">
      <c r="A268">
        <f t="shared" ca="1" si="29"/>
        <v>1</v>
      </c>
      <c r="C268">
        <f ca="1">COUNTIF(A$2:A268,1)</f>
        <v>36</v>
      </c>
      <c r="D268">
        <f ca="1">COUNTIF($A$2:$A268,2)</f>
        <v>49</v>
      </c>
      <c r="E268">
        <f ca="1">COUNTIF($A$2:$A268,3)</f>
        <v>49</v>
      </c>
      <c r="F268">
        <f ca="1">COUNTIF($A$2:$A268,4)</f>
        <v>45</v>
      </c>
      <c r="G268">
        <f ca="1">COUNTIF($A$2:$A268,5)</f>
        <v>51</v>
      </c>
      <c r="H268">
        <f ca="1">COUNTIF($A$2:$A268,6)</f>
        <v>37</v>
      </c>
      <c r="I268">
        <f t="shared" ca="1" si="30"/>
        <v>13.48314606741573</v>
      </c>
      <c r="J268">
        <f t="shared" ca="1" si="31"/>
        <v>18.352059925093634</v>
      </c>
      <c r="K268">
        <f t="shared" ca="1" si="32"/>
        <v>18.352059925093634</v>
      </c>
      <c r="L268">
        <f t="shared" ca="1" si="33"/>
        <v>16.853932584269664</v>
      </c>
      <c r="M268">
        <f t="shared" ca="1" si="34"/>
        <v>19.101123595505616</v>
      </c>
      <c r="N268">
        <f t="shared" ca="1" si="35"/>
        <v>13.857677902621724</v>
      </c>
    </row>
    <row r="269" spans="1:14" x14ac:dyDescent="0.3">
      <c r="A269">
        <f t="shared" ca="1" si="29"/>
        <v>6</v>
      </c>
      <c r="C269">
        <f ca="1">COUNTIF(A$2:A269,1)</f>
        <v>36</v>
      </c>
      <c r="D269">
        <f ca="1">COUNTIF($A$2:$A269,2)</f>
        <v>49</v>
      </c>
      <c r="E269">
        <f ca="1">COUNTIF($A$2:$A269,3)</f>
        <v>49</v>
      </c>
      <c r="F269">
        <f ca="1">COUNTIF($A$2:$A269,4)</f>
        <v>45</v>
      </c>
      <c r="G269">
        <f ca="1">COUNTIF($A$2:$A269,5)</f>
        <v>51</v>
      </c>
      <c r="H269">
        <f ca="1">COUNTIF($A$2:$A269,6)</f>
        <v>38</v>
      </c>
      <c r="I269">
        <f t="shared" ca="1" si="30"/>
        <v>13.432835820895523</v>
      </c>
      <c r="J269">
        <f t="shared" ca="1" si="31"/>
        <v>18.28358208955224</v>
      </c>
      <c r="K269">
        <f t="shared" ca="1" si="32"/>
        <v>18.28358208955224</v>
      </c>
      <c r="L269">
        <f t="shared" ca="1" si="33"/>
        <v>16.791044776119403</v>
      </c>
      <c r="M269">
        <f t="shared" ca="1" si="34"/>
        <v>19.029850746268657</v>
      </c>
      <c r="N269">
        <f t="shared" ca="1" si="35"/>
        <v>14.17910447761194</v>
      </c>
    </row>
    <row r="270" spans="1:14" x14ac:dyDescent="0.3">
      <c r="A270">
        <f t="shared" ca="1" si="29"/>
        <v>1</v>
      </c>
      <c r="C270">
        <f ca="1">COUNTIF(A$2:A270,1)</f>
        <v>37</v>
      </c>
      <c r="D270">
        <f ca="1">COUNTIF($A$2:$A270,2)</f>
        <v>49</v>
      </c>
      <c r="E270">
        <f ca="1">COUNTIF($A$2:$A270,3)</f>
        <v>49</v>
      </c>
      <c r="F270">
        <f ca="1">COUNTIF($A$2:$A270,4)</f>
        <v>45</v>
      </c>
      <c r="G270">
        <f ca="1">COUNTIF($A$2:$A270,5)</f>
        <v>51</v>
      </c>
      <c r="H270">
        <f ca="1">COUNTIF($A$2:$A270,6)</f>
        <v>38</v>
      </c>
      <c r="I270">
        <f t="shared" ca="1" si="30"/>
        <v>13.754646840148698</v>
      </c>
      <c r="J270">
        <f t="shared" ca="1" si="31"/>
        <v>18.21561338289963</v>
      </c>
      <c r="K270">
        <f t="shared" ca="1" si="32"/>
        <v>18.21561338289963</v>
      </c>
      <c r="L270">
        <f t="shared" ca="1" si="33"/>
        <v>16.728624535315987</v>
      </c>
      <c r="M270">
        <f t="shared" ca="1" si="34"/>
        <v>18.959107806691449</v>
      </c>
      <c r="N270">
        <f t="shared" ca="1" si="35"/>
        <v>14.12639405204461</v>
      </c>
    </row>
    <row r="271" spans="1:14" x14ac:dyDescent="0.3">
      <c r="A271">
        <f t="shared" ca="1" si="29"/>
        <v>6</v>
      </c>
      <c r="C271">
        <f ca="1">COUNTIF(A$2:A271,1)</f>
        <v>37</v>
      </c>
      <c r="D271">
        <f ca="1">COUNTIF($A$2:$A271,2)</f>
        <v>49</v>
      </c>
      <c r="E271">
        <f ca="1">COUNTIF($A$2:$A271,3)</f>
        <v>49</v>
      </c>
      <c r="F271">
        <f ca="1">COUNTIF($A$2:$A271,4)</f>
        <v>45</v>
      </c>
      <c r="G271">
        <f ca="1">COUNTIF($A$2:$A271,5)</f>
        <v>51</v>
      </c>
      <c r="H271">
        <f ca="1">COUNTIF($A$2:$A271,6)</f>
        <v>39</v>
      </c>
      <c r="I271">
        <f t="shared" ca="1" si="30"/>
        <v>13.703703703703704</v>
      </c>
      <c r="J271">
        <f t="shared" ca="1" si="31"/>
        <v>18.148148148148149</v>
      </c>
      <c r="K271">
        <f t="shared" ca="1" si="32"/>
        <v>18.148148148148149</v>
      </c>
      <c r="L271">
        <f t="shared" ca="1" si="33"/>
        <v>16.666666666666664</v>
      </c>
      <c r="M271">
        <f t="shared" ca="1" si="34"/>
        <v>18.888888888888889</v>
      </c>
      <c r="N271">
        <f t="shared" ca="1" si="35"/>
        <v>14.444444444444443</v>
      </c>
    </row>
    <row r="272" spans="1:14" x14ac:dyDescent="0.3">
      <c r="A272">
        <f t="shared" ca="1" si="29"/>
        <v>5</v>
      </c>
      <c r="C272">
        <f ca="1">COUNTIF(A$2:A272,1)</f>
        <v>37</v>
      </c>
      <c r="D272">
        <f ca="1">COUNTIF($A$2:$A272,2)</f>
        <v>49</v>
      </c>
      <c r="E272">
        <f ca="1">COUNTIF($A$2:$A272,3)</f>
        <v>49</v>
      </c>
      <c r="F272">
        <f ca="1">COUNTIF($A$2:$A272,4)</f>
        <v>45</v>
      </c>
      <c r="G272">
        <f ca="1">COUNTIF($A$2:$A272,5)</f>
        <v>52</v>
      </c>
      <c r="H272">
        <f ca="1">COUNTIF($A$2:$A272,6)</f>
        <v>39</v>
      </c>
      <c r="I272">
        <f t="shared" ca="1" si="30"/>
        <v>13.653136531365314</v>
      </c>
      <c r="J272">
        <f t="shared" ca="1" si="31"/>
        <v>18.081180811808117</v>
      </c>
      <c r="K272">
        <f t="shared" ca="1" si="32"/>
        <v>18.081180811808117</v>
      </c>
      <c r="L272">
        <f t="shared" ca="1" si="33"/>
        <v>16.605166051660518</v>
      </c>
      <c r="M272">
        <f t="shared" ca="1" si="34"/>
        <v>19.188191881918819</v>
      </c>
      <c r="N272">
        <f t="shared" ca="1" si="35"/>
        <v>14.391143911439114</v>
      </c>
    </row>
    <row r="273" spans="1:14" x14ac:dyDescent="0.3">
      <c r="A273">
        <f t="shared" ca="1" si="29"/>
        <v>2</v>
      </c>
      <c r="C273">
        <f ca="1">COUNTIF(A$2:A273,1)</f>
        <v>37</v>
      </c>
      <c r="D273">
        <f ca="1">COUNTIF($A$2:$A273,2)</f>
        <v>50</v>
      </c>
      <c r="E273">
        <f ca="1">COUNTIF($A$2:$A273,3)</f>
        <v>49</v>
      </c>
      <c r="F273">
        <f ca="1">COUNTIF($A$2:$A273,4)</f>
        <v>45</v>
      </c>
      <c r="G273">
        <f ca="1">COUNTIF($A$2:$A273,5)</f>
        <v>52</v>
      </c>
      <c r="H273">
        <f ca="1">COUNTIF($A$2:$A273,6)</f>
        <v>39</v>
      </c>
      <c r="I273">
        <f t="shared" ca="1" si="30"/>
        <v>13.602941176470587</v>
      </c>
      <c r="J273">
        <f t="shared" ca="1" si="31"/>
        <v>18.382352941176471</v>
      </c>
      <c r="K273">
        <f t="shared" ca="1" si="32"/>
        <v>18.014705882352942</v>
      </c>
      <c r="L273">
        <f t="shared" ca="1" si="33"/>
        <v>16.544117647058822</v>
      </c>
      <c r="M273">
        <f t="shared" ca="1" si="34"/>
        <v>19.117647058823529</v>
      </c>
      <c r="N273">
        <f t="shared" ca="1" si="35"/>
        <v>14.338235294117647</v>
      </c>
    </row>
    <row r="274" spans="1:14" x14ac:dyDescent="0.3">
      <c r="A274">
        <f t="shared" ca="1" si="29"/>
        <v>2</v>
      </c>
      <c r="C274">
        <f ca="1">COUNTIF(A$2:A274,1)</f>
        <v>37</v>
      </c>
      <c r="D274">
        <f ca="1">COUNTIF($A$2:$A274,2)</f>
        <v>51</v>
      </c>
      <c r="E274">
        <f ca="1">COUNTIF($A$2:$A274,3)</f>
        <v>49</v>
      </c>
      <c r="F274">
        <f ca="1">COUNTIF($A$2:$A274,4)</f>
        <v>45</v>
      </c>
      <c r="G274">
        <f ca="1">COUNTIF($A$2:$A274,5)</f>
        <v>52</v>
      </c>
      <c r="H274">
        <f ca="1">COUNTIF($A$2:$A274,6)</f>
        <v>39</v>
      </c>
      <c r="I274">
        <f t="shared" ca="1" si="30"/>
        <v>13.553113553113553</v>
      </c>
      <c r="J274">
        <f t="shared" ca="1" si="31"/>
        <v>18.681318681318682</v>
      </c>
      <c r="K274">
        <f t="shared" ca="1" si="32"/>
        <v>17.948717948717949</v>
      </c>
      <c r="L274">
        <f t="shared" ca="1" si="33"/>
        <v>16.483516483516482</v>
      </c>
      <c r="M274">
        <f t="shared" ca="1" si="34"/>
        <v>19.047619047619047</v>
      </c>
      <c r="N274">
        <f t="shared" ca="1" si="35"/>
        <v>14.285714285714285</v>
      </c>
    </row>
    <row r="275" spans="1:14" x14ac:dyDescent="0.3">
      <c r="A275">
        <f t="shared" ca="1" si="29"/>
        <v>4</v>
      </c>
      <c r="C275">
        <f ca="1">COUNTIF(A$2:A275,1)</f>
        <v>37</v>
      </c>
      <c r="D275">
        <f ca="1">COUNTIF($A$2:$A275,2)</f>
        <v>51</v>
      </c>
      <c r="E275">
        <f ca="1">COUNTIF($A$2:$A275,3)</f>
        <v>49</v>
      </c>
      <c r="F275">
        <f ca="1">COUNTIF($A$2:$A275,4)</f>
        <v>46</v>
      </c>
      <c r="G275">
        <f ca="1">COUNTIF($A$2:$A275,5)</f>
        <v>52</v>
      </c>
      <c r="H275">
        <f ca="1">COUNTIF($A$2:$A275,6)</f>
        <v>39</v>
      </c>
      <c r="I275">
        <f t="shared" ca="1" si="30"/>
        <v>13.503649635036496</v>
      </c>
      <c r="J275">
        <f t="shared" ca="1" si="31"/>
        <v>18.613138686131386</v>
      </c>
      <c r="K275">
        <f t="shared" ca="1" si="32"/>
        <v>17.883211678832119</v>
      </c>
      <c r="L275">
        <f t="shared" ca="1" si="33"/>
        <v>16.788321167883211</v>
      </c>
      <c r="M275">
        <f t="shared" ca="1" si="34"/>
        <v>18.978102189781019</v>
      </c>
      <c r="N275">
        <f t="shared" ca="1" si="35"/>
        <v>14.233576642335766</v>
      </c>
    </row>
    <row r="276" spans="1:14" x14ac:dyDescent="0.3">
      <c r="A276">
        <f t="shared" ca="1" si="29"/>
        <v>4</v>
      </c>
      <c r="C276">
        <f ca="1">COUNTIF(A$2:A276,1)</f>
        <v>37</v>
      </c>
      <c r="D276">
        <f ca="1">COUNTIF($A$2:$A276,2)</f>
        <v>51</v>
      </c>
      <c r="E276">
        <f ca="1">COUNTIF($A$2:$A276,3)</f>
        <v>49</v>
      </c>
      <c r="F276">
        <f ca="1">COUNTIF($A$2:$A276,4)</f>
        <v>47</v>
      </c>
      <c r="G276">
        <f ca="1">COUNTIF($A$2:$A276,5)</f>
        <v>52</v>
      </c>
      <c r="H276">
        <f ca="1">COUNTIF($A$2:$A276,6)</f>
        <v>39</v>
      </c>
      <c r="I276">
        <f t="shared" ca="1" si="30"/>
        <v>13.454545454545455</v>
      </c>
      <c r="J276">
        <f t="shared" ca="1" si="31"/>
        <v>18.545454545454547</v>
      </c>
      <c r="K276">
        <f t="shared" ca="1" si="32"/>
        <v>17.81818181818182</v>
      </c>
      <c r="L276">
        <f t="shared" ca="1" si="33"/>
        <v>17.09090909090909</v>
      </c>
      <c r="M276">
        <f t="shared" ca="1" si="34"/>
        <v>18.90909090909091</v>
      </c>
      <c r="N276">
        <f t="shared" ca="1" si="35"/>
        <v>14.181818181818182</v>
      </c>
    </row>
    <row r="277" spans="1:14" x14ac:dyDescent="0.3">
      <c r="A277">
        <f t="shared" ca="1" si="29"/>
        <v>2</v>
      </c>
      <c r="C277">
        <f ca="1">COUNTIF(A$2:A277,1)</f>
        <v>37</v>
      </c>
      <c r="D277">
        <f ca="1">COUNTIF($A$2:$A277,2)</f>
        <v>52</v>
      </c>
      <c r="E277">
        <f ca="1">COUNTIF($A$2:$A277,3)</f>
        <v>49</v>
      </c>
      <c r="F277">
        <f ca="1">COUNTIF($A$2:$A277,4)</f>
        <v>47</v>
      </c>
      <c r="G277">
        <f ca="1">COUNTIF($A$2:$A277,5)</f>
        <v>52</v>
      </c>
      <c r="H277">
        <f ca="1">COUNTIF($A$2:$A277,6)</f>
        <v>39</v>
      </c>
      <c r="I277">
        <f t="shared" ca="1" si="30"/>
        <v>13.405797101449277</v>
      </c>
      <c r="J277">
        <f t="shared" ca="1" si="31"/>
        <v>18.840579710144929</v>
      </c>
      <c r="K277">
        <f t="shared" ca="1" si="32"/>
        <v>17.753623188405797</v>
      </c>
      <c r="L277">
        <f t="shared" ca="1" si="33"/>
        <v>17.028985507246379</v>
      </c>
      <c r="M277">
        <f t="shared" ca="1" si="34"/>
        <v>18.840579710144929</v>
      </c>
      <c r="N277">
        <f t="shared" ca="1" si="35"/>
        <v>14.130434782608695</v>
      </c>
    </row>
    <row r="278" spans="1:14" x14ac:dyDescent="0.3">
      <c r="A278">
        <f t="shared" ca="1" si="29"/>
        <v>2</v>
      </c>
      <c r="C278">
        <f ca="1">COUNTIF(A$2:A278,1)</f>
        <v>37</v>
      </c>
      <c r="D278">
        <f ca="1">COUNTIF($A$2:$A278,2)</f>
        <v>53</v>
      </c>
      <c r="E278">
        <f ca="1">COUNTIF($A$2:$A278,3)</f>
        <v>49</v>
      </c>
      <c r="F278">
        <f ca="1">COUNTIF($A$2:$A278,4)</f>
        <v>47</v>
      </c>
      <c r="G278">
        <f ca="1">COUNTIF($A$2:$A278,5)</f>
        <v>52</v>
      </c>
      <c r="H278">
        <f ca="1">COUNTIF($A$2:$A278,6)</f>
        <v>39</v>
      </c>
      <c r="I278">
        <f t="shared" ca="1" si="30"/>
        <v>13.357400722021662</v>
      </c>
      <c r="J278">
        <f t="shared" ca="1" si="31"/>
        <v>19.133574007220215</v>
      </c>
      <c r="K278">
        <f t="shared" ca="1" si="32"/>
        <v>17.689530685920577</v>
      </c>
      <c r="L278">
        <f t="shared" ca="1" si="33"/>
        <v>16.967509025270758</v>
      </c>
      <c r="M278">
        <f t="shared" ca="1" si="34"/>
        <v>18.772563176895307</v>
      </c>
      <c r="N278">
        <f t="shared" ca="1" si="35"/>
        <v>14.079422382671481</v>
      </c>
    </row>
    <row r="279" spans="1:14" x14ac:dyDescent="0.3">
      <c r="A279">
        <f t="shared" ca="1" si="29"/>
        <v>5</v>
      </c>
      <c r="C279">
        <f ca="1">COUNTIF(A$2:A279,1)</f>
        <v>37</v>
      </c>
      <c r="D279">
        <f ca="1">COUNTIF($A$2:$A279,2)</f>
        <v>53</v>
      </c>
      <c r="E279">
        <f ca="1">COUNTIF($A$2:$A279,3)</f>
        <v>49</v>
      </c>
      <c r="F279">
        <f ca="1">COUNTIF($A$2:$A279,4)</f>
        <v>47</v>
      </c>
      <c r="G279">
        <f ca="1">COUNTIF($A$2:$A279,5)</f>
        <v>53</v>
      </c>
      <c r="H279">
        <f ca="1">COUNTIF($A$2:$A279,6)</f>
        <v>39</v>
      </c>
      <c r="I279">
        <f t="shared" ca="1" si="30"/>
        <v>13.309352517985612</v>
      </c>
      <c r="J279">
        <f t="shared" ca="1" si="31"/>
        <v>19.064748201438849</v>
      </c>
      <c r="K279">
        <f t="shared" ca="1" si="32"/>
        <v>17.625899280575538</v>
      </c>
      <c r="L279">
        <f t="shared" ca="1" si="33"/>
        <v>16.906474820143885</v>
      </c>
      <c r="M279">
        <f t="shared" ca="1" si="34"/>
        <v>19.064748201438849</v>
      </c>
      <c r="N279">
        <f t="shared" ca="1" si="35"/>
        <v>14.028776978417264</v>
      </c>
    </row>
    <row r="280" spans="1:14" x14ac:dyDescent="0.3">
      <c r="A280">
        <f t="shared" ca="1" si="29"/>
        <v>6</v>
      </c>
      <c r="C280">
        <f ca="1">COUNTIF(A$2:A280,1)</f>
        <v>37</v>
      </c>
      <c r="D280">
        <f ca="1">COUNTIF($A$2:$A280,2)</f>
        <v>53</v>
      </c>
      <c r="E280">
        <f ca="1">COUNTIF($A$2:$A280,3)</f>
        <v>49</v>
      </c>
      <c r="F280">
        <f ca="1">COUNTIF($A$2:$A280,4)</f>
        <v>47</v>
      </c>
      <c r="G280">
        <f ca="1">COUNTIF($A$2:$A280,5)</f>
        <v>53</v>
      </c>
      <c r="H280">
        <f ca="1">COUNTIF($A$2:$A280,6)</f>
        <v>40</v>
      </c>
      <c r="I280">
        <f t="shared" ca="1" si="30"/>
        <v>13.261648745519713</v>
      </c>
      <c r="J280">
        <f t="shared" ca="1" si="31"/>
        <v>18.996415770609318</v>
      </c>
      <c r="K280">
        <f t="shared" ca="1" si="32"/>
        <v>17.562724014336915</v>
      </c>
      <c r="L280">
        <f t="shared" ca="1" si="33"/>
        <v>16.845878136200717</v>
      </c>
      <c r="M280">
        <f t="shared" ca="1" si="34"/>
        <v>18.996415770609318</v>
      </c>
      <c r="N280">
        <f t="shared" ca="1" si="35"/>
        <v>14.336917562724013</v>
      </c>
    </row>
    <row r="281" spans="1:14" x14ac:dyDescent="0.3">
      <c r="A281">
        <f t="shared" ca="1" si="29"/>
        <v>2</v>
      </c>
      <c r="C281">
        <f ca="1">COUNTIF(A$2:A281,1)</f>
        <v>37</v>
      </c>
      <c r="D281">
        <f ca="1">COUNTIF($A$2:$A281,2)</f>
        <v>54</v>
      </c>
      <c r="E281">
        <f ca="1">COUNTIF($A$2:$A281,3)</f>
        <v>49</v>
      </c>
      <c r="F281">
        <f ca="1">COUNTIF($A$2:$A281,4)</f>
        <v>47</v>
      </c>
      <c r="G281">
        <f ca="1">COUNTIF($A$2:$A281,5)</f>
        <v>53</v>
      </c>
      <c r="H281">
        <f ca="1">COUNTIF($A$2:$A281,6)</f>
        <v>40</v>
      </c>
      <c r="I281">
        <f t="shared" ca="1" si="30"/>
        <v>13.214285714285715</v>
      </c>
      <c r="J281">
        <f t="shared" ca="1" si="31"/>
        <v>19.285714285714288</v>
      </c>
      <c r="K281">
        <f t="shared" ca="1" si="32"/>
        <v>17.5</v>
      </c>
      <c r="L281">
        <f t="shared" ca="1" si="33"/>
        <v>16.785714285714285</v>
      </c>
      <c r="M281">
        <f t="shared" ca="1" si="34"/>
        <v>18.928571428571427</v>
      </c>
      <c r="N281">
        <f t="shared" ca="1" si="35"/>
        <v>14.285714285714285</v>
      </c>
    </row>
    <row r="282" spans="1:14" x14ac:dyDescent="0.3">
      <c r="A282">
        <f t="shared" ca="1" si="29"/>
        <v>2</v>
      </c>
      <c r="C282">
        <f ca="1">COUNTIF(A$2:A282,1)</f>
        <v>37</v>
      </c>
      <c r="D282">
        <f ca="1">COUNTIF($A$2:$A282,2)</f>
        <v>55</v>
      </c>
      <c r="E282">
        <f ca="1">COUNTIF($A$2:$A282,3)</f>
        <v>49</v>
      </c>
      <c r="F282">
        <f ca="1">COUNTIF($A$2:$A282,4)</f>
        <v>47</v>
      </c>
      <c r="G282">
        <f ca="1">COUNTIF($A$2:$A282,5)</f>
        <v>53</v>
      </c>
      <c r="H282">
        <f ca="1">COUNTIF($A$2:$A282,6)</f>
        <v>40</v>
      </c>
      <c r="I282">
        <f t="shared" ca="1" si="30"/>
        <v>13.167259786476867</v>
      </c>
      <c r="J282">
        <f t="shared" ca="1" si="31"/>
        <v>19.572953736654807</v>
      </c>
      <c r="K282">
        <f t="shared" ca="1" si="32"/>
        <v>17.437722419928825</v>
      </c>
      <c r="L282">
        <f t="shared" ca="1" si="33"/>
        <v>16.72597864768683</v>
      </c>
      <c r="M282">
        <f t="shared" ca="1" si="34"/>
        <v>18.861209964412812</v>
      </c>
      <c r="N282">
        <f t="shared" ca="1" si="35"/>
        <v>14.23487544483986</v>
      </c>
    </row>
    <row r="283" spans="1:14" x14ac:dyDescent="0.3">
      <c r="A283">
        <f t="shared" ca="1" si="29"/>
        <v>1</v>
      </c>
      <c r="C283">
        <f ca="1">COUNTIF(A$2:A283,1)</f>
        <v>38</v>
      </c>
      <c r="D283">
        <f ca="1">COUNTIF($A$2:$A283,2)</f>
        <v>55</v>
      </c>
      <c r="E283">
        <f ca="1">COUNTIF($A$2:$A283,3)</f>
        <v>49</v>
      </c>
      <c r="F283">
        <f ca="1">COUNTIF($A$2:$A283,4)</f>
        <v>47</v>
      </c>
      <c r="G283">
        <f ca="1">COUNTIF($A$2:$A283,5)</f>
        <v>53</v>
      </c>
      <c r="H283">
        <f ca="1">COUNTIF($A$2:$A283,6)</f>
        <v>40</v>
      </c>
      <c r="I283">
        <f t="shared" ca="1" si="30"/>
        <v>13.475177304964539</v>
      </c>
      <c r="J283">
        <f t="shared" ca="1" si="31"/>
        <v>19.50354609929078</v>
      </c>
      <c r="K283">
        <f t="shared" ca="1" si="32"/>
        <v>17.375886524822697</v>
      </c>
      <c r="L283">
        <f t="shared" ca="1" si="33"/>
        <v>16.666666666666664</v>
      </c>
      <c r="M283">
        <f t="shared" ca="1" si="34"/>
        <v>18.794326241134751</v>
      </c>
      <c r="N283">
        <f t="shared" ca="1" si="35"/>
        <v>14.184397163120568</v>
      </c>
    </row>
    <row r="284" spans="1:14" x14ac:dyDescent="0.3">
      <c r="A284">
        <f t="shared" ca="1" si="29"/>
        <v>4</v>
      </c>
      <c r="C284">
        <f ca="1">COUNTIF(A$2:A284,1)</f>
        <v>38</v>
      </c>
      <c r="D284">
        <f ca="1">COUNTIF($A$2:$A284,2)</f>
        <v>55</v>
      </c>
      <c r="E284">
        <f ca="1">COUNTIF($A$2:$A284,3)</f>
        <v>49</v>
      </c>
      <c r="F284">
        <f ca="1">COUNTIF($A$2:$A284,4)</f>
        <v>48</v>
      </c>
      <c r="G284">
        <f ca="1">COUNTIF($A$2:$A284,5)</f>
        <v>53</v>
      </c>
      <c r="H284">
        <f ca="1">COUNTIF($A$2:$A284,6)</f>
        <v>40</v>
      </c>
      <c r="I284">
        <f t="shared" ca="1" si="30"/>
        <v>13.427561837455832</v>
      </c>
      <c r="J284">
        <f t="shared" ca="1" si="31"/>
        <v>19.434628975265017</v>
      </c>
      <c r="K284">
        <f t="shared" ca="1" si="32"/>
        <v>17.314487632508836</v>
      </c>
      <c r="L284">
        <f t="shared" ca="1" si="33"/>
        <v>16.96113074204947</v>
      </c>
      <c r="M284">
        <f t="shared" ca="1" si="34"/>
        <v>18.727915194346288</v>
      </c>
      <c r="N284">
        <f t="shared" ca="1" si="35"/>
        <v>14.134275618374559</v>
      </c>
    </row>
    <row r="285" spans="1:14" x14ac:dyDescent="0.3">
      <c r="A285">
        <f t="shared" ca="1" si="29"/>
        <v>1</v>
      </c>
      <c r="C285">
        <f ca="1">COUNTIF(A$2:A285,1)</f>
        <v>39</v>
      </c>
      <c r="D285">
        <f ca="1">COUNTIF($A$2:$A285,2)</f>
        <v>55</v>
      </c>
      <c r="E285">
        <f ca="1">COUNTIF($A$2:$A285,3)</f>
        <v>49</v>
      </c>
      <c r="F285">
        <f ca="1">COUNTIF($A$2:$A285,4)</f>
        <v>48</v>
      </c>
      <c r="G285">
        <f ca="1">COUNTIF($A$2:$A285,5)</f>
        <v>53</v>
      </c>
      <c r="H285">
        <f ca="1">COUNTIF($A$2:$A285,6)</f>
        <v>40</v>
      </c>
      <c r="I285">
        <f t="shared" ca="1" si="30"/>
        <v>13.732394366197184</v>
      </c>
      <c r="J285">
        <f t="shared" ca="1" si="31"/>
        <v>19.366197183098592</v>
      </c>
      <c r="K285">
        <f t="shared" ca="1" si="32"/>
        <v>17.253521126760564</v>
      </c>
      <c r="L285">
        <f t="shared" ca="1" si="33"/>
        <v>16.901408450704224</v>
      </c>
      <c r="M285">
        <f t="shared" ca="1" si="34"/>
        <v>18.661971830985916</v>
      </c>
      <c r="N285">
        <f t="shared" ca="1" si="35"/>
        <v>14.084507042253522</v>
      </c>
    </row>
    <row r="286" spans="1:14" x14ac:dyDescent="0.3">
      <c r="A286">
        <f t="shared" ca="1" si="29"/>
        <v>6</v>
      </c>
      <c r="C286">
        <f ca="1">COUNTIF(A$2:A286,1)</f>
        <v>39</v>
      </c>
      <c r="D286">
        <f ca="1">COUNTIF($A$2:$A286,2)</f>
        <v>55</v>
      </c>
      <c r="E286">
        <f ca="1">COUNTIF($A$2:$A286,3)</f>
        <v>49</v>
      </c>
      <c r="F286">
        <f ca="1">COUNTIF($A$2:$A286,4)</f>
        <v>48</v>
      </c>
      <c r="G286">
        <f ca="1">COUNTIF($A$2:$A286,5)</f>
        <v>53</v>
      </c>
      <c r="H286">
        <f ca="1">COUNTIF($A$2:$A286,6)</f>
        <v>41</v>
      </c>
      <c r="I286">
        <f t="shared" ca="1" si="30"/>
        <v>13.684210526315791</v>
      </c>
      <c r="J286">
        <f t="shared" ca="1" si="31"/>
        <v>19.298245614035086</v>
      </c>
      <c r="K286">
        <f t="shared" ca="1" si="32"/>
        <v>17.192982456140353</v>
      </c>
      <c r="L286">
        <f t="shared" ca="1" si="33"/>
        <v>16.842105263157894</v>
      </c>
      <c r="M286">
        <f t="shared" ca="1" si="34"/>
        <v>18.596491228070175</v>
      </c>
      <c r="N286">
        <f t="shared" ca="1" si="35"/>
        <v>14.385964912280702</v>
      </c>
    </row>
    <row r="287" spans="1:14" x14ac:dyDescent="0.3">
      <c r="A287">
        <f t="shared" ca="1" si="29"/>
        <v>4</v>
      </c>
      <c r="C287">
        <f ca="1">COUNTIF(A$2:A287,1)</f>
        <v>39</v>
      </c>
      <c r="D287">
        <f ca="1">COUNTIF($A$2:$A287,2)</f>
        <v>55</v>
      </c>
      <c r="E287">
        <f ca="1">COUNTIF($A$2:$A287,3)</f>
        <v>49</v>
      </c>
      <c r="F287">
        <f ca="1">COUNTIF($A$2:$A287,4)</f>
        <v>49</v>
      </c>
      <c r="G287">
        <f ca="1">COUNTIF($A$2:$A287,5)</f>
        <v>53</v>
      </c>
      <c r="H287">
        <f ca="1">COUNTIF($A$2:$A287,6)</f>
        <v>41</v>
      </c>
      <c r="I287">
        <f t="shared" ca="1" si="30"/>
        <v>13.636363636363635</v>
      </c>
      <c r="J287">
        <f t="shared" ca="1" si="31"/>
        <v>19.230769230769234</v>
      </c>
      <c r="K287">
        <f t="shared" ca="1" si="32"/>
        <v>17.132867132867133</v>
      </c>
      <c r="L287">
        <f t="shared" ca="1" si="33"/>
        <v>17.132867132867133</v>
      </c>
      <c r="M287">
        <f t="shared" ca="1" si="34"/>
        <v>18.53146853146853</v>
      </c>
      <c r="N287">
        <f t="shared" ca="1" si="35"/>
        <v>14.335664335664337</v>
      </c>
    </row>
    <row r="288" spans="1:14" x14ac:dyDescent="0.3">
      <c r="A288">
        <f t="shared" ca="1" si="29"/>
        <v>5</v>
      </c>
      <c r="C288">
        <f ca="1">COUNTIF(A$2:A288,1)</f>
        <v>39</v>
      </c>
      <c r="D288">
        <f ca="1">COUNTIF($A$2:$A288,2)</f>
        <v>55</v>
      </c>
      <c r="E288">
        <f ca="1">COUNTIF($A$2:$A288,3)</f>
        <v>49</v>
      </c>
      <c r="F288">
        <f ca="1">COUNTIF($A$2:$A288,4)</f>
        <v>49</v>
      </c>
      <c r="G288">
        <f ca="1">COUNTIF($A$2:$A288,5)</f>
        <v>54</v>
      </c>
      <c r="H288">
        <f ca="1">COUNTIF($A$2:$A288,6)</f>
        <v>41</v>
      </c>
      <c r="I288">
        <f t="shared" ca="1" si="30"/>
        <v>13.588850174216027</v>
      </c>
      <c r="J288">
        <f t="shared" ca="1" si="31"/>
        <v>19.16376306620209</v>
      </c>
      <c r="K288">
        <f t="shared" ca="1" si="32"/>
        <v>17.073170731707318</v>
      </c>
      <c r="L288">
        <f t="shared" ca="1" si="33"/>
        <v>17.073170731707318</v>
      </c>
      <c r="M288">
        <f t="shared" ca="1" si="34"/>
        <v>18.815331010452962</v>
      </c>
      <c r="N288">
        <f t="shared" ca="1" si="35"/>
        <v>14.285714285714285</v>
      </c>
    </row>
    <row r="289" spans="1:14" x14ac:dyDescent="0.3">
      <c r="A289">
        <f t="shared" ca="1" si="29"/>
        <v>6</v>
      </c>
      <c r="C289">
        <f ca="1">COUNTIF(A$2:A289,1)</f>
        <v>39</v>
      </c>
      <c r="D289">
        <f ca="1">COUNTIF($A$2:$A289,2)</f>
        <v>55</v>
      </c>
      <c r="E289">
        <f ca="1">COUNTIF($A$2:$A289,3)</f>
        <v>49</v>
      </c>
      <c r="F289">
        <f ca="1">COUNTIF($A$2:$A289,4)</f>
        <v>49</v>
      </c>
      <c r="G289">
        <f ca="1">COUNTIF($A$2:$A289,5)</f>
        <v>54</v>
      </c>
      <c r="H289">
        <f ca="1">COUNTIF($A$2:$A289,6)</f>
        <v>42</v>
      </c>
      <c r="I289">
        <f t="shared" ca="1" si="30"/>
        <v>13.541666666666666</v>
      </c>
      <c r="J289">
        <f t="shared" ca="1" si="31"/>
        <v>19.097222222222221</v>
      </c>
      <c r="K289">
        <f t="shared" ca="1" si="32"/>
        <v>17.013888888888889</v>
      </c>
      <c r="L289">
        <f t="shared" ca="1" si="33"/>
        <v>17.013888888888889</v>
      </c>
      <c r="M289">
        <f t="shared" ca="1" si="34"/>
        <v>18.75</v>
      </c>
      <c r="N289">
        <f t="shared" ca="1" si="35"/>
        <v>14.583333333333334</v>
      </c>
    </row>
    <row r="290" spans="1:14" x14ac:dyDescent="0.3">
      <c r="A290">
        <f t="shared" ca="1" si="29"/>
        <v>1</v>
      </c>
      <c r="C290">
        <f ca="1">COUNTIF(A$2:A290,1)</f>
        <v>40</v>
      </c>
      <c r="D290">
        <f ca="1">COUNTIF($A$2:$A290,2)</f>
        <v>55</v>
      </c>
      <c r="E290">
        <f ca="1">COUNTIF($A$2:$A290,3)</f>
        <v>49</v>
      </c>
      <c r="F290">
        <f ca="1">COUNTIF($A$2:$A290,4)</f>
        <v>49</v>
      </c>
      <c r="G290">
        <f ca="1">COUNTIF($A$2:$A290,5)</f>
        <v>54</v>
      </c>
      <c r="H290">
        <f ca="1">COUNTIF($A$2:$A290,6)</f>
        <v>42</v>
      </c>
      <c r="I290">
        <f t="shared" ca="1" si="30"/>
        <v>13.84083044982699</v>
      </c>
      <c r="J290">
        <f t="shared" ca="1" si="31"/>
        <v>19.031141868512112</v>
      </c>
      <c r="K290">
        <f t="shared" ca="1" si="32"/>
        <v>16.955017301038062</v>
      </c>
      <c r="L290">
        <f t="shared" ca="1" si="33"/>
        <v>16.955017301038062</v>
      </c>
      <c r="M290">
        <f t="shared" ca="1" si="34"/>
        <v>18.685121107266436</v>
      </c>
      <c r="N290">
        <f t="shared" ca="1" si="35"/>
        <v>14.53287197231834</v>
      </c>
    </row>
    <row r="291" spans="1:14" x14ac:dyDescent="0.3">
      <c r="A291">
        <f t="shared" ca="1" si="29"/>
        <v>2</v>
      </c>
      <c r="C291">
        <f ca="1">COUNTIF(A$2:A291,1)</f>
        <v>40</v>
      </c>
      <c r="D291">
        <f ca="1">COUNTIF($A$2:$A291,2)</f>
        <v>56</v>
      </c>
      <c r="E291">
        <f ca="1">COUNTIF($A$2:$A291,3)</f>
        <v>49</v>
      </c>
      <c r="F291">
        <f ca="1">COUNTIF($A$2:$A291,4)</f>
        <v>49</v>
      </c>
      <c r="G291">
        <f ca="1">COUNTIF($A$2:$A291,5)</f>
        <v>54</v>
      </c>
      <c r="H291">
        <f ca="1">COUNTIF($A$2:$A291,6)</f>
        <v>42</v>
      </c>
      <c r="I291">
        <f t="shared" ca="1" si="30"/>
        <v>13.793103448275861</v>
      </c>
      <c r="J291">
        <f t="shared" ca="1" si="31"/>
        <v>19.310344827586206</v>
      </c>
      <c r="K291">
        <f t="shared" ca="1" si="32"/>
        <v>16.896551724137932</v>
      </c>
      <c r="L291">
        <f t="shared" ca="1" si="33"/>
        <v>16.896551724137932</v>
      </c>
      <c r="M291">
        <f t="shared" ca="1" si="34"/>
        <v>18.620689655172416</v>
      </c>
      <c r="N291">
        <f t="shared" ca="1" si="35"/>
        <v>14.482758620689657</v>
      </c>
    </row>
    <row r="292" spans="1:14" x14ac:dyDescent="0.3">
      <c r="A292">
        <f t="shared" ca="1" si="29"/>
        <v>6</v>
      </c>
      <c r="C292">
        <f ca="1">COUNTIF(A$2:A292,1)</f>
        <v>40</v>
      </c>
      <c r="D292">
        <f ca="1">COUNTIF($A$2:$A292,2)</f>
        <v>56</v>
      </c>
      <c r="E292">
        <f ca="1">COUNTIF($A$2:$A292,3)</f>
        <v>49</v>
      </c>
      <c r="F292">
        <f ca="1">COUNTIF($A$2:$A292,4)</f>
        <v>49</v>
      </c>
      <c r="G292">
        <f ca="1">COUNTIF($A$2:$A292,5)</f>
        <v>54</v>
      </c>
      <c r="H292">
        <f ca="1">COUNTIF($A$2:$A292,6)</f>
        <v>43</v>
      </c>
      <c r="I292">
        <f t="shared" ca="1" si="30"/>
        <v>13.745704467353953</v>
      </c>
      <c r="J292">
        <f t="shared" ca="1" si="31"/>
        <v>19.243986254295535</v>
      </c>
      <c r="K292">
        <f t="shared" ca="1" si="32"/>
        <v>16.838487972508592</v>
      </c>
      <c r="L292">
        <f t="shared" ca="1" si="33"/>
        <v>16.838487972508592</v>
      </c>
      <c r="M292">
        <f t="shared" ca="1" si="34"/>
        <v>18.556701030927837</v>
      </c>
      <c r="N292">
        <f t="shared" ca="1" si="35"/>
        <v>14.776632302405499</v>
      </c>
    </row>
    <row r="293" spans="1:14" x14ac:dyDescent="0.3">
      <c r="A293">
        <f t="shared" ca="1" si="29"/>
        <v>4</v>
      </c>
      <c r="C293">
        <f ca="1">COUNTIF(A$2:A293,1)</f>
        <v>40</v>
      </c>
      <c r="D293">
        <f ca="1">COUNTIF($A$2:$A293,2)</f>
        <v>56</v>
      </c>
      <c r="E293">
        <f ca="1">COUNTIF($A$2:$A293,3)</f>
        <v>49</v>
      </c>
      <c r="F293">
        <f ca="1">COUNTIF($A$2:$A293,4)</f>
        <v>50</v>
      </c>
      <c r="G293">
        <f ca="1">COUNTIF($A$2:$A293,5)</f>
        <v>54</v>
      </c>
      <c r="H293">
        <f ca="1">COUNTIF($A$2:$A293,6)</f>
        <v>43</v>
      </c>
      <c r="I293">
        <f t="shared" ca="1" si="30"/>
        <v>13.698630136986301</v>
      </c>
      <c r="J293">
        <f t="shared" ca="1" si="31"/>
        <v>19.17808219178082</v>
      </c>
      <c r="K293">
        <f t="shared" ca="1" si="32"/>
        <v>16.780821917808218</v>
      </c>
      <c r="L293">
        <f t="shared" ca="1" si="33"/>
        <v>17.123287671232877</v>
      </c>
      <c r="M293">
        <f t="shared" ca="1" si="34"/>
        <v>18.493150684931507</v>
      </c>
      <c r="N293">
        <f t="shared" ca="1" si="35"/>
        <v>14.726027397260275</v>
      </c>
    </row>
    <row r="294" spans="1:14" x14ac:dyDescent="0.3">
      <c r="A294">
        <f t="shared" ca="1" si="29"/>
        <v>2</v>
      </c>
      <c r="C294">
        <f ca="1">COUNTIF(A$2:A294,1)</f>
        <v>40</v>
      </c>
      <c r="D294">
        <f ca="1">COUNTIF($A$2:$A294,2)</f>
        <v>57</v>
      </c>
      <c r="E294">
        <f ca="1">COUNTIF($A$2:$A294,3)</f>
        <v>49</v>
      </c>
      <c r="F294">
        <f ca="1">COUNTIF($A$2:$A294,4)</f>
        <v>50</v>
      </c>
      <c r="G294">
        <f ca="1">COUNTIF($A$2:$A294,5)</f>
        <v>54</v>
      </c>
      <c r="H294">
        <f ca="1">COUNTIF($A$2:$A294,6)</f>
        <v>43</v>
      </c>
      <c r="I294">
        <f t="shared" ca="1" si="30"/>
        <v>13.651877133105803</v>
      </c>
      <c r="J294">
        <f t="shared" ca="1" si="31"/>
        <v>19.453924914675767</v>
      </c>
      <c r="K294">
        <f t="shared" ca="1" si="32"/>
        <v>16.723549488054605</v>
      </c>
      <c r="L294">
        <f t="shared" ca="1" si="33"/>
        <v>17.064846416382252</v>
      </c>
      <c r="M294">
        <f t="shared" ca="1" si="34"/>
        <v>18.430034129692832</v>
      </c>
      <c r="N294">
        <f t="shared" ca="1" si="35"/>
        <v>14.675767918088736</v>
      </c>
    </row>
    <row r="295" spans="1:14" x14ac:dyDescent="0.3">
      <c r="A295">
        <f t="shared" ca="1" si="29"/>
        <v>2</v>
      </c>
      <c r="C295">
        <f ca="1">COUNTIF(A$2:A295,1)</f>
        <v>40</v>
      </c>
      <c r="D295">
        <f ca="1">COUNTIF($A$2:$A295,2)</f>
        <v>58</v>
      </c>
      <c r="E295">
        <f ca="1">COUNTIF($A$2:$A295,3)</f>
        <v>49</v>
      </c>
      <c r="F295">
        <f ca="1">COUNTIF($A$2:$A295,4)</f>
        <v>50</v>
      </c>
      <c r="G295">
        <f ca="1">COUNTIF($A$2:$A295,5)</f>
        <v>54</v>
      </c>
      <c r="H295">
        <f ca="1">COUNTIF($A$2:$A295,6)</f>
        <v>43</v>
      </c>
      <c r="I295">
        <f t="shared" ca="1" si="30"/>
        <v>13.605442176870749</v>
      </c>
      <c r="J295">
        <f t="shared" ca="1" si="31"/>
        <v>19.727891156462583</v>
      </c>
      <c r="K295">
        <f t="shared" ca="1" si="32"/>
        <v>16.666666666666664</v>
      </c>
      <c r="L295">
        <f t="shared" ca="1" si="33"/>
        <v>17.006802721088434</v>
      </c>
      <c r="M295">
        <f t="shared" ca="1" si="34"/>
        <v>18.367346938775512</v>
      </c>
      <c r="N295">
        <f t="shared" ca="1" si="35"/>
        <v>14.625850340136054</v>
      </c>
    </row>
    <row r="296" spans="1:14" x14ac:dyDescent="0.3">
      <c r="A296">
        <f t="shared" ca="1" si="29"/>
        <v>1</v>
      </c>
      <c r="C296">
        <f ca="1">COUNTIF(A$2:A296,1)</f>
        <v>41</v>
      </c>
      <c r="D296">
        <f ca="1">COUNTIF($A$2:$A296,2)</f>
        <v>58</v>
      </c>
      <c r="E296">
        <f ca="1">COUNTIF($A$2:$A296,3)</f>
        <v>49</v>
      </c>
      <c r="F296">
        <f ca="1">COUNTIF($A$2:$A296,4)</f>
        <v>50</v>
      </c>
      <c r="G296">
        <f ca="1">COUNTIF($A$2:$A296,5)</f>
        <v>54</v>
      </c>
      <c r="H296">
        <f ca="1">COUNTIF($A$2:$A296,6)</f>
        <v>43</v>
      </c>
      <c r="I296">
        <f t="shared" ca="1" si="30"/>
        <v>13.898305084745763</v>
      </c>
      <c r="J296">
        <f t="shared" ca="1" si="31"/>
        <v>19.661016949152543</v>
      </c>
      <c r="K296">
        <f t="shared" ca="1" si="32"/>
        <v>16.610169491525422</v>
      </c>
      <c r="L296">
        <f t="shared" ca="1" si="33"/>
        <v>16.949152542372879</v>
      </c>
      <c r="M296">
        <f t="shared" ca="1" si="34"/>
        <v>18.305084745762713</v>
      </c>
      <c r="N296">
        <f t="shared" ca="1" si="35"/>
        <v>14.576271186440678</v>
      </c>
    </row>
    <row r="297" spans="1:14" x14ac:dyDescent="0.3">
      <c r="A297">
        <f t="shared" ca="1" si="29"/>
        <v>1</v>
      </c>
      <c r="C297">
        <f ca="1">COUNTIF(A$2:A297,1)</f>
        <v>42</v>
      </c>
      <c r="D297">
        <f ca="1">COUNTIF($A$2:$A297,2)</f>
        <v>58</v>
      </c>
      <c r="E297">
        <f ca="1">COUNTIF($A$2:$A297,3)</f>
        <v>49</v>
      </c>
      <c r="F297">
        <f ca="1">COUNTIF($A$2:$A297,4)</f>
        <v>50</v>
      </c>
      <c r="G297">
        <f ca="1">COUNTIF($A$2:$A297,5)</f>
        <v>54</v>
      </c>
      <c r="H297">
        <f ca="1">COUNTIF($A$2:$A297,6)</f>
        <v>43</v>
      </c>
      <c r="I297">
        <f t="shared" ca="1" si="30"/>
        <v>14.189189189189189</v>
      </c>
      <c r="J297">
        <f t="shared" ca="1" si="31"/>
        <v>19.594594594594593</v>
      </c>
      <c r="K297">
        <f t="shared" ca="1" si="32"/>
        <v>16.554054054054053</v>
      </c>
      <c r="L297">
        <f t="shared" ca="1" si="33"/>
        <v>16.891891891891891</v>
      </c>
      <c r="M297">
        <f t="shared" ca="1" si="34"/>
        <v>18.243243243243242</v>
      </c>
      <c r="N297">
        <f t="shared" ca="1" si="35"/>
        <v>14.527027027027026</v>
      </c>
    </row>
    <row r="298" spans="1:14" x14ac:dyDescent="0.3">
      <c r="A298">
        <f t="shared" ca="1" si="29"/>
        <v>3</v>
      </c>
      <c r="C298">
        <f ca="1">COUNTIF(A$2:A298,1)</f>
        <v>42</v>
      </c>
      <c r="D298">
        <f ca="1">COUNTIF($A$2:$A298,2)</f>
        <v>58</v>
      </c>
      <c r="E298">
        <f ca="1">COUNTIF($A$2:$A298,3)</f>
        <v>50</v>
      </c>
      <c r="F298">
        <f ca="1">COUNTIF($A$2:$A298,4)</f>
        <v>50</v>
      </c>
      <c r="G298">
        <f ca="1">COUNTIF($A$2:$A298,5)</f>
        <v>54</v>
      </c>
      <c r="H298">
        <f ca="1">COUNTIF($A$2:$A298,6)</f>
        <v>43</v>
      </c>
      <c r="I298">
        <f t="shared" ca="1" si="30"/>
        <v>14.14141414141414</v>
      </c>
      <c r="J298">
        <f t="shared" ca="1" si="31"/>
        <v>19.528619528619529</v>
      </c>
      <c r="K298">
        <f t="shared" ca="1" si="32"/>
        <v>16.835016835016837</v>
      </c>
      <c r="L298">
        <f t="shared" ca="1" si="33"/>
        <v>16.835016835016837</v>
      </c>
      <c r="M298">
        <f t="shared" ca="1" si="34"/>
        <v>18.181818181818183</v>
      </c>
      <c r="N298">
        <f t="shared" ca="1" si="35"/>
        <v>14.478114478114479</v>
      </c>
    </row>
    <row r="299" spans="1:14" x14ac:dyDescent="0.3">
      <c r="A299">
        <f t="shared" ca="1" si="29"/>
        <v>5</v>
      </c>
      <c r="C299">
        <f ca="1">COUNTIF(A$2:A299,1)</f>
        <v>42</v>
      </c>
      <c r="D299">
        <f ca="1">COUNTIF($A$2:$A299,2)</f>
        <v>58</v>
      </c>
      <c r="E299">
        <f ca="1">COUNTIF($A$2:$A299,3)</f>
        <v>50</v>
      </c>
      <c r="F299">
        <f ca="1">COUNTIF($A$2:$A299,4)</f>
        <v>50</v>
      </c>
      <c r="G299">
        <f ca="1">COUNTIF($A$2:$A299,5)</f>
        <v>55</v>
      </c>
      <c r="H299">
        <f ca="1">COUNTIF($A$2:$A299,6)</f>
        <v>43</v>
      </c>
      <c r="I299">
        <f t="shared" ca="1" si="30"/>
        <v>14.093959731543624</v>
      </c>
      <c r="J299">
        <f t="shared" ca="1" si="31"/>
        <v>19.463087248322147</v>
      </c>
      <c r="K299">
        <f t="shared" ca="1" si="32"/>
        <v>16.778523489932887</v>
      </c>
      <c r="L299">
        <f t="shared" ca="1" si="33"/>
        <v>16.778523489932887</v>
      </c>
      <c r="M299">
        <f t="shared" ca="1" si="34"/>
        <v>18.456375838926174</v>
      </c>
      <c r="N299">
        <f t="shared" ca="1" si="35"/>
        <v>14.429530201342283</v>
      </c>
    </row>
    <row r="300" spans="1:14" x14ac:dyDescent="0.3">
      <c r="A300">
        <f t="shared" ca="1" si="29"/>
        <v>3</v>
      </c>
      <c r="C300">
        <f ca="1">COUNTIF(A$2:A300,1)</f>
        <v>42</v>
      </c>
      <c r="D300">
        <f ca="1">COUNTIF($A$2:$A300,2)</f>
        <v>58</v>
      </c>
      <c r="E300">
        <f ca="1">COUNTIF($A$2:$A300,3)</f>
        <v>51</v>
      </c>
      <c r="F300">
        <f ca="1">COUNTIF($A$2:$A300,4)</f>
        <v>50</v>
      </c>
      <c r="G300">
        <f ca="1">COUNTIF($A$2:$A300,5)</f>
        <v>55</v>
      </c>
      <c r="H300">
        <f ca="1">COUNTIF($A$2:$A300,6)</f>
        <v>43</v>
      </c>
      <c r="I300">
        <f t="shared" ca="1" si="30"/>
        <v>14.046822742474916</v>
      </c>
      <c r="J300">
        <f t="shared" ca="1" si="31"/>
        <v>19.397993311036789</v>
      </c>
      <c r="K300">
        <f t="shared" ca="1" si="32"/>
        <v>17.056856187290968</v>
      </c>
      <c r="L300">
        <f t="shared" ca="1" si="33"/>
        <v>16.722408026755854</v>
      </c>
      <c r="M300">
        <f t="shared" ca="1" si="34"/>
        <v>18.394648829431436</v>
      </c>
      <c r="N300">
        <f t="shared" ca="1" si="35"/>
        <v>14.381270903010032</v>
      </c>
    </row>
    <row r="301" spans="1:14" x14ac:dyDescent="0.3">
      <c r="A301">
        <f t="shared" ca="1" si="29"/>
        <v>3</v>
      </c>
      <c r="C301">
        <f ca="1">COUNTIF(A$2:A301,1)</f>
        <v>42</v>
      </c>
      <c r="D301">
        <f ca="1">COUNTIF($A$2:$A301,2)</f>
        <v>58</v>
      </c>
      <c r="E301">
        <f ca="1">COUNTIF($A$2:$A301,3)</f>
        <v>52</v>
      </c>
      <c r="F301">
        <f ca="1">COUNTIF($A$2:$A301,4)</f>
        <v>50</v>
      </c>
      <c r="G301">
        <f ca="1">COUNTIF($A$2:$A301,5)</f>
        <v>55</v>
      </c>
      <c r="H301">
        <f ca="1">COUNTIF($A$2:$A301,6)</f>
        <v>43</v>
      </c>
      <c r="I301">
        <f t="shared" ca="1" si="30"/>
        <v>14.000000000000002</v>
      </c>
      <c r="J301">
        <f t="shared" ca="1" si="31"/>
        <v>19.333333333333332</v>
      </c>
      <c r="K301">
        <f t="shared" ca="1" si="32"/>
        <v>17.333333333333336</v>
      </c>
      <c r="L301">
        <f t="shared" ca="1" si="33"/>
        <v>16.666666666666664</v>
      </c>
      <c r="M301">
        <f t="shared" ca="1" si="34"/>
        <v>18.333333333333332</v>
      </c>
      <c r="N301">
        <f t="shared" ca="1" si="35"/>
        <v>14.333333333333334</v>
      </c>
    </row>
    <row r="302" spans="1:14" x14ac:dyDescent="0.3">
      <c r="A302">
        <f t="shared" ca="1" si="29"/>
        <v>3</v>
      </c>
      <c r="C302">
        <f ca="1">COUNTIF(A$2:A302,1)</f>
        <v>42</v>
      </c>
      <c r="D302">
        <f ca="1">COUNTIF($A$2:$A302,2)</f>
        <v>58</v>
      </c>
      <c r="E302">
        <f ca="1">COUNTIF($A$2:$A302,3)</f>
        <v>53</v>
      </c>
      <c r="F302">
        <f ca="1">COUNTIF($A$2:$A302,4)</f>
        <v>50</v>
      </c>
      <c r="G302">
        <f ca="1">COUNTIF($A$2:$A302,5)</f>
        <v>55</v>
      </c>
      <c r="H302">
        <f ca="1">COUNTIF($A$2:$A302,6)</f>
        <v>43</v>
      </c>
      <c r="I302">
        <f t="shared" ca="1" si="30"/>
        <v>13.953488372093023</v>
      </c>
      <c r="J302">
        <f t="shared" ca="1" si="31"/>
        <v>19.269102990033225</v>
      </c>
      <c r="K302">
        <f t="shared" ca="1" si="32"/>
        <v>17.607973421926911</v>
      </c>
      <c r="L302">
        <f t="shared" ca="1" si="33"/>
        <v>16.611295681063122</v>
      </c>
      <c r="M302">
        <f t="shared" ca="1" si="34"/>
        <v>18.272425249169437</v>
      </c>
      <c r="N302">
        <f t="shared" ca="1" si="35"/>
        <v>14.285714285714285</v>
      </c>
    </row>
    <row r="303" spans="1:14" x14ac:dyDescent="0.3">
      <c r="A303">
        <f t="shared" ca="1" si="29"/>
        <v>5</v>
      </c>
      <c r="C303">
        <f ca="1">COUNTIF(A$2:A303,1)</f>
        <v>42</v>
      </c>
      <c r="D303">
        <f ca="1">COUNTIF($A$2:$A303,2)</f>
        <v>58</v>
      </c>
      <c r="E303">
        <f ca="1">COUNTIF($A$2:$A303,3)</f>
        <v>53</v>
      </c>
      <c r="F303">
        <f ca="1">COUNTIF($A$2:$A303,4)</f>
        <v>50</v>
      </c>
      <c r="G303">
        <f ca="1">COUNTIF($A$2:$A303,5)</f>
        <v>56</v>
      </c>
      <c r="H303">
        <f ca="1">COUNTIF($A$2:$A303,6)</f>
        <v>43</v>
      </c>
      <c r="I303">
        <f t="shared" ca="1" si="30"/>
        <v>13.90728476821192</v>
      </c>
      <c r="J303">
        <f t="shared" ca="1" si="31"/>
        <v>19.205298013245034</v>
      </c>
      <c r="K303">
        <f t="shared" ca="1" si="32"/>
        <v>17.549668874172188</v>
      </c>
      <c r="L303">
        <f t="shared" ca="1" si="33"/>
        <v>16.556291390728479</v>
      </c>
      <c r="M303">
        <f t="shared" ca="1" si="34"/>
        <v>18.543046357615893</v>
      </c>
      <c r="N303">
        <f t="shared" ca="1" si="35"/>
        <v>14.23841059602649</v>
      </c>
    </row>
    <row r="304" spans="1:14" x14ac:dyDescent="0.3">
      <c r="A304">
        <f t="shared" ca="1" si="29"/>
        <v>5</v>
      </c>
      <c r="C304">
        <f ca="1">COUNTIF(A$2:A304,1)</f>
        <v>42</v>
      </c>
      <c r="D304">
        <f ca="1">COUNTIF($A$2:$A304,2)</f>
        <v>58</v>
      </c>
      <c r="E304">
        <f ca="1">COUNTIF($A$2:$A304,3)</f>
        <v>53</v>
      </c>
      <c r="F304">
        <f ca="1">COUNTIF($A$2:$A304,4)</f>
        <v>50</v>
      </c>
      <c r="G304">
        <f ca="1">COUNTIF($A$2:$A304,5)</f>
        <v>57</v>
      </c>
      <c r="H304">
        <f ca="1">COUNTIF($A$2:$A304,6)</f>
        <v>43</v>
      </c>
      <c r="I304">
        <f t="shared" ca="1" si="30"/>
        <v>13.861386138613863</v>
      </c>
      <c r="J304">
        <f t="shared" ca="1" si="31"/>
        <v>19.141914191419144</v>
      </c>
      <c r="K304">
        <f t="shared" ca="1" si="32"/>
        <v>17.491749174917494</v>
      </c>
      <c r="L304">
        <f t="shared" ca="1" si="33"/>
        <v>16.5016501650165</v>
      </c>
      <c r="M304">
        <f t="shared" ca="1" si="34"/>
        <v>18.811881188118811</v>
      </c>
      <c r="N304">
        <f t="shared" ca="1" si="35"/>
        <v>14.19141914191419</v>
      </c>
    </row>
    <row r="305" spans="1:14" x14ac:dyDescent="0.3">
      <c r="A305">
        <f t="shared" ca="1" si="29"/>
        <v>2</v>
      </c>
      <c r="C305">
        <f ca="1">COUNTIF(A$2:A305,1)</f>
        <v>42</v>
      </c>
      <c r="D305">
        <f ca="1">COUNTIF($A$2:$A305,2)</f>
        <v>59</v>
      </c>
      <c r="E305">
        <f ca="1">COUNTIF($A$2:$A305,3)</f>
        <v>53</v>
      </c>
      <c r="F305">
        <f ca="1">COUNTIF($A$2:$A305,4)</f>
        <v>50</v>
      </c>
      <c r="G305">
        <f ca="1">COUNTIF($A$2:$A305,5)</f>
        <v>57</v>
      </c>
      <c r="H305">
        <f ca="1">COUNTIF($A$2:$A305,6)</f>
        <v>43</v>
      </c>
      <c r="I305">
        <f t="shared" ca="1" si="30"/>
        <v>13.815789473684212</v>
      </c>
      <c r="J305">
        <f t="shared" ca="1" si="31"/>
        <v>19.407894736842106</v>
      </c>
      <c r="K305">
        <f t="shared" ca="1" si="32"/>
        <v>17.434210526315788</v>
      </c>
      <c r="L305">
        <f t="shared" ca="1" si="33"/>
        <v>16.447368421052634</v>
      </c>
      <c r="M305">
        <f t="shared" ca="1" si="34"/>
        <v>18.75</v>
      </c>
      <c r="N305">
        <f t="shared" ca="1" si="35"/>
        <v>14.144736842105262</v>
      </c>
    </row>
    <row r="306" spans="1:14" x14ac:dyDescent="0.3">
      <c r="A306">
        <f t="shared" ca="1" si="29"/>
        <v>4</v>
      </c>
      <c r="C306">
        <f ca="1">COUNTIF(A$2:A306,1)</f>
        <v>42</v>
      </c>
      <c r="D306">
        <f ca="1">COUNTIF($A$2:$A306,2)</f>
        <v>59</v>
      </c>
      <c r="E306">
        <f ca="1">COUNTIF($A$2:$A306,3)</f>
        <v>53</v>
      </c>
      <c r="F306">
        <f ca="1">COUNTIF($A$2:$A306,4)</f>
        <v>51</v>
      </c>
      <c r="G306">
        <f ca="1">COUNTIF($A$2:$A306,5)</f>
        <v>57</v>
      </c>
      <c r="H306">
        <f ca="1">COUNTIF($A$2:$A306,6)</f>
        <v>43</v>
      </c>
      <c r="I306">
        <f t="shared" ca="1" si="30"/>
        <v>13.77049180327869</v>
      </c>
      <c r="J306">
        <f t="shared" ca="1" si="31"/>
        <v>19.344262295081968</v>
      </c>
      <c r="K306">
        <f t="shared" ca="1" si="32"/>
        <v>17.377049180327869</v>
      </c>
      <c r="L306">
        <f t="shared" ca="1" si="33"/>
        <v>16.721311475409838</v>
      </c>
      <c r="M306">
        <f t="shared" ca="1" si="34"/>
        <v>18.688524590163937</v>
      </c>
      <c r="N306">
        <f t="shared" ca="1" si="35"/>
        <v>14.098360655737704</v>
      </c>
    </row>
    <row r="307" spans="1:14" x14ac:dyDescent="0.3">
      <c r="A307">
        <f t="shared" ca="1" si="29"/>
        <v>4</v>
      </c>
      <c r="C307">
        <f ca="1">COUNTIF(A$2:A307,1)</f>
        <v>42</v>
      </c>
      <c r="D307">
        <f ca="1">COUNTIF($A$2:$A307,2)</f>
        <v>59</v>
      </c>
      <c r="E307">
        <f ca="1">COUNTIF($A$2:$A307,3)</f>
        <v>53</v>
      </c>
      <c r="F307">
        <f ca="1">COUNTIF($A$2:$A307,4)</f>
        <v>52</v>
      </c>
      <c r="G307">
        <f ca="1">COUNTIF($A$2:$A307,5)</f>
        <v>57</v>
      </c>
      <c r="H307">
        <f ca="1">COUNTIF($A$2:$A307,6)</f>
        <v>43</v>
      </c>
      <c r="I307">
        <f t="shared" ca="1" si="30"/>
        <v>13.725490196078432</v>
      </c>
      <c r="J307">
        <f t="shared" ca="1" si="31"/>
        <v>19.281045751633989</v>
      </c>
      <c r="K307">
        <f t="shared" ca="1" si="32"/>
        <v>17.320261437908496</v>
      </c>
      <c r="L307">
        <f t="shared" ca="1" si="33"/>
        <v>16.993464052287582</v>
      </c>
      <c r="M307">
        <f t="shared" ca="1" si="34"/>
        <v>18.627450980392158</v>
      </c>
      <c r="N307">
        <f t="shared" ca="1" si="35"/>
        <v>14.052287581699346</v>
      </c>
    </row>
    <row r="308" spans="1:14" x14ac:dyDescent="0.3">
      <c r="A308">
        <f t="shared" ca="1" si="29"/>
        <v>5</v>
      </c>
      <c r="C308">
        <f ca="1">COUNTIF(A$2:A308,1)</f>
        <v>42</v>
      </c>
      <c r="D308">
        <f ca="1">COUNTIF($A$2:$A308,2)</f>
        <v>59</v>
      </c>
      <c r="E308">
        <f ca="1">COUNTIF($A$2:$A308,3)</f>
        <v>53</v>
      </c>
      <c r="F308">
        <f ca="1">COUNTIF($A$2:$A308,4)</f>
        <v>52</v>
      </c>
      <c r="G308">
        <f ca="1">COUNTIF($A$2:$A308,5)</f>
        <v>58</v>
      </c>
      <c r="H308">
        <f ca="1">COUNTIF($A$2:$A308,6)</f>
        <v>43</v>
      </c>
      <c r="I308">
        <f t="shared" ca="1" si="30"/>
        <v>13.680781758957655</v>
      </c>
      <c r="J308">
        <f t="shared" ca="1" si="31"/>
        <v>19.218241042345277</v>
      </c>
      <c r="K308">
        <f t="shared" ca="1" si="32"/>
        <v>17.263843648208468</v>
      </c>
      <c r="L308">
        <f t="shared" ca="1" si="33"/>
        <v>16.938110749185668</v>
      </c>
      <c r="M308">
        <f t="shared" ca="1" si="34"/>
        <v>18.892508143322477</v>
      </c>
      <c r="N308">
        <f t="shared" ca="1" si="35"/>
        <v>14.006514657980457</v>
      </c>
    </row>
    <row r="309" spans="1:14" x14ac:dyDescent="0.3">
      <c r="A309">
        <f t="shared" ca="1" si="29"/>
        <v>2</v>
      </c>
      <c r="C309">
        <f ca="1">COUNTIF(A$2:A309,1)</f>
        <v>42</v>
      </c>
      <c r="D309">
        <f ca="1">COUNTIF($A$2:$A309,2)</f>
        <v>60</v>
      </c>
      <c r="E309">
        <f ca="1">COUNTIF($A$2:$A309,3)</f>
        <v>53</v>
      </c>
      <c r="F309">
        <f ca="1">COUNTIF($A$2:$A309,4)</f>
        <v>52</v>
      </c>
      <c r="G309">
        <f ca="1">COUNTIF($A$2:$A309,5)</f>
        <v>58</v>
      </c>
      <c r="H309">
        <f ca="1">COUNTIF($A$2:$A309,6)</f>
        <v>43</v>
      </c>
      <c r="I309">
        <f t="shared" ca="1" si="30"/>
        <v>13.636363636363635</v>
      </c>
      <c r="J309">
        <f t="shared" ca="1" si="31"/>
        <v>19.480519480519483</v>
      </c>
      <c r="K309">
        <f t="shared" ca="1" si="32"/>
        <v>17.20779220779221</v>
      </c>
      <c r="L309">
        <f t="shared" ca="1" si="33"/>
        <v>16.883116883116884</v>
      </c>
      <c r="M309">
        <f t="shared" ca="1" si="34"/>
        <v>18.831168831168831</v>
      </c>
      <c r="N309">
        <f t="shared" ca="1" si="35"/>
        <v>13.961038961038961</v>
      </c>
    </row>
    <row r="310" spans="1:14" x14ac:dyDescent="0.3">
      <c r="A310">
        <f t="shared" ca="1" si="29"/>
        <v>3</v>
      </c>
      <c r="C310">
        <f ca="1">COUNTIF(A$2:A310,1)</f>
        <v>42</v>
      </c>
      <c r="D310">
        <f ca="1">COUNTIF($A$2:$A310,2)</f>
        <v>60</v>
      </c>
      <c r="E310">
        <f ca="1">COUNTIF($A$2:$A310,3)</f>
        <v>54</v>
      </c>
      <c r="F310">
        <f ca="1">COUNTIF($A$2:$A310,4)</f>
        <v>52</v>
      </c>
      <c r="G310">
        <f ca="1">COUNTIF($A$2:$A310,5)</f>
        <v>58</v>
      </c>
      <c r="H310">
        <f ca="1">COUNTIF($A$2:$A310,6)</f>
        <v>43</v>
      </c>
      <c r="I310">
        <f t="shared" ca="1" si="30"/>
        <v>13.592233009708737</v>
      </c>
      <c r="J310">
        <f t="shared" ca="1" si="31"/>
        <v>19.417475728155338</v>
      </c>
      <c r="K310">
        <f t="shared" ca="1" si="32"/>
        <v>17.475728155339805</v>
      </c>
      <c r="L310">
        <f t="shared" ca="1" si="33"/>
        <v>16.828478964401295</v>
      </c>
      <c r="M310">
        <f t="shared" ca="1" si="34"/>
        <v>18.770226537216828</v>
      </c>
      <c r="N310">
        <f t="shared" ca="1" si="35"/>
        <v>13.915857605177994</v>
      </c>
    </row>
    <row r="311" spans="1:14" x14ac:dyDescent="0.3">
      <c r="A311">
        <f t="shared" ca="1" si="29"/>
        <v>2</v>
      </c>
      <c r="C311">
        <f ca="1">COUNTIF(A$2:A311,1)</f>
        <v>42</v>
      </c>
      <c r="D311">
        <f ca="1">COUNTIF($A$2:$A311,2)</f>
        <v>61</v>
      </c>
      <c r="E311">
        <f ca="1">COUNTIF($A$2:$A311,3)</f>
        <v>54</v>
      </c>
      <c r="F311">
        <f ca="1">COUNTIF($A$2:$A311,4)</f>
        <v>52</v>
      </c>
      <c r="G311">
        <f ca="1">COUNTIF($A$2:$A311,5)</f>
        <v>58</v>
      </c>
      <c r="H311">
        <f ca="1">COUNTIF($A$2:$A311,6)</f>
        <v>43</v>
      </c>
      <c r="I311">
        <f t="shared" ca="1" si="30"/>
        <v>13.548387096774196</v>
      </c>
      <c r="J311">
        <f t="shared" ca="1" si="31"/>
        <v>19.677419354838712</v>
      </c>
      <c r="K311">
        <f t="shared" ca="1" si="32"/>
        <v>17.419354838709676</v>
      </c>
      <c r="L311">
        <f t="shared" ca="1" si="33"/>
        <v>16.7741935483871</v>
      </c>
      <c r="M311">
        <f t="shared" ca="1" si="34"/>
        <v>18.70967741935484</v>
      </c>
      <c r="N311">
        <f t="shared" ca="1" si="35"/>
        <v>13.870967741935484</v>
      </c>
    </row>
    <row r="312" spans="1:14" x14ac:dyDescent="0.3">
      <c r="A312">
        <f t="shared" ca="1" si="29"/>
        <v>2</v>
      </c>
      <c r="C312">
        <f ca="1">COUNTIF(A$2:A312,1)</f>
        <v>42</v>
      </c>
      <c r="D312">
        <f ca="1">COUNTIF($A$2:$A312,2)</f>
        <v>62</v>
      </c>
      <c r="E312">
        <f ca="1">COUNTIF($A$2:$A312,3)</f>
        <v>54</v>
      </c>
      <c r="F312">
        <f ca="1">COUNTIF($A$2:$A312,4)</f>
        <v>52</v>
      </c>
      <c r="G312">
        <f ca="1">COUNTIF($A$2:$A312,5)</f>
        <v>58</v>
      </c>
      <c r="H312">
        <f ca="1">COUNTIF($A$2:$A312,6)</f>
        <v>43</v>
      </c>
      <c r="I312">
        <f t="shared" ca="1" si="30"/>
        <v>13.504823151125404</v>
      </c>
      <c r="J312">
        <f t="shared" ca="1" si="31"/>
        <v>19.935691318327976</v>
      </c>
      <c r="K312">
        <f t="shared" ca="1" si="32"/>
        <v>17.363344051446948</v>
      </c>
      <c r="L312">
        <f t="shared" ca="1" si="33"/>
        <v>16.720257234726688</v>
      </c>
      <c r="M312">
        <f t="shared" ca="1" si="34"/>
        <v>18.64951768488746</v>
      </c>
      <c r="N312">
        <f t="shared" ca="1" si="35"/>
        <v>13.826366559485532</v>
      </c>
    </row>
    <row r="313" spans="1:14" x14ac:dyDescent="0.3">
      <c r="A313">
        <f t="shared" ca="1" si="29"/>
        <v>2</v>
      </c>
      <c r="C313">
        <f ca="1">COUNTIF(A$2:A313,1)</f>
        <v>42</v>
      </c>
      <c r="D313">
        <f ca="1">COUNTIF($A$2:$A313,2)</f>
        <v>63</v>
      </c>
      <c r="E313">
        <f ca="1">COUNTIF($A$2:$A313,3)</f>
        <v>54</v>
      </c>
      <c r="F313">
        <f ca="1">COUNTIF($A$2:$A313,4)</f>
        <v>52</v>
      </c>
      <c r="G313">
        <f ca="1">COUNTIF($A$2:$A313,5)</f>
        <v>58</v>
      </c>
      <c r="H313">
        <f ca="1">COUNTIF($A$2:$A313,6)</f>
        <v>43</v>
      </c>
      <c r="I313">
        <f t="shared" ca="1" si="30"/>
        <v>13.461538461538462</v>
      </c>
      <c r="J313">
        <f t="shared" ca="1" si="31"/>
        <v>20.192307692307693</v>
      </c>
      <c r="K313">
        <f t="shared" ca="1" si="32"/>
        <v>17.307692307692307</v>
      </c>
      <c r="L313">
        <f t="shared" ca="1" si="33"/>
        <v>16.666666666666664</v>
      </c>
      <c r="M313">
        <f t="shared" ca="1" si="34"/>
        <v>18.589743589743591</v>
      </c>
      <c r="N313">
        <f t="shared" ca="1" si="35"/>
        <v>13.782051282051283</v>
      </c>
    </row>
    <row r="314" spans="1:14" x14ac:dyDescent="0.3">
      <c r="A314">
        <f t="shared" ca="1" si="29"/>
        <v>1</v>
      </c>
      <c r="C314">
        <f ca="1">COUNTIF(A$2:A314,1)</f>
        <v>43</v>
      </c>
      <c r="D314">
        <f ca="1">COUNTIF($A$2:$A314,2)</f>
        <v>63</v>
      </c>
      <c r="E314">
        <f ca="1">COUNTIF($A$2:$A314,3)</f>
        <v>54</v>
      </c>
      <c r="F314">
        <f ca="1">COUNTIF($A$2:$A314,4)</f>
        <v>52</v>
      </c>
      <c r="G314">
        <f ca="1">COUNTIF($A$2:$A314,5)</f>
        <v>58</v>
      </c>
      <c r="H314">
        <f ca="1">COUNTIF($A$2:$A314,6)</f>
        <v>43</v>
      </c>
      <c r="I314">
        <f t="shared" ca="1" si="30"/>
        <v>13.738019169329075</v>
      </c>
      <c r="J314">
        <f t="shared" ca="1" si="31"/>
        <v>20.12779552715655</v>
      </c>
      <c r="K314">
        <f t="shared" ca="1" si="32"/>
        <v>17.252396166134183</v>
      </c>
      <c r="L314">
        <f t="shared" ca="1" si="33"/>
        <v>16.613418530351439</v>
      </c>
      <c r="M314">
        <f t="shared" ca="1" si="34"/>
        <v>18.530351437699679</v>
      </c>
      <c r="N314">
        <f t="shared" ca="1" si="35"/>
        <v>13.738019169329075</v>
      </c>
    </row>
    <row r="315" spans="1:14" x14ac:dyDescent="0.3">
      <c r="A315">
        <f t="shared" ca="1" si="29"/>
        <v>5</v>
      </c>
      <c r="C315">
        <f ca="1">COUNTIF(A$2:A315,1)</f>
        <v>43</v>
      </c>
      <c r="D315">
        <f ca="1">COUNTIF($A$2:$A315,2)</f>
        <v>63</v>
      </c>
      <c r="E315">
        <f ca="1">COUNTIF($A$2:$A315,3)</f>
        <v>54</v>
      </c>
      <c r="F315">
        <f ca="1">COUNTIF($A$2:$A315,4)</f>
        <v>52</v>
      </c>
      <c r="G315">
        <f ca="1">COUNTIF($A$2:$A315,5)</f>
        <v>59</v>
      </c>
      <c r="H315">
        <f ca="1">COUNTIF($A$2:$A315,6)</f>
        <v>43</v>
      </c>
      <c r="I315">
        <f t="shared" ca="1" si="30"/>
        <v>13.694267515923567</v>
      </c>
      <c r="J315">
        <f t="shared" ca="1" si="31"/>
        <v>20.063694267515924</v>
      </c>
      <c r="K315">
        <f t="shared" ca="1" si="32"/>
        <v>17.197452229299362</v>
      </c>
      <c r="L315">
        <f t="shared" ca="1" si="33"/>
        <v>16.560509554140125</v>
      </c>
      <c r="M315">
        <f t="shared" ca="1" si="34"/>
        <v>18.789808917197455</v>
      </c>
      <c r="N315">
        <f t="shared" ca="1" si="35"/>
        <v>13.694267515923567</v>
      </c>
    </row>
    <row r="316" spans="1:14" x14ac:dyDescent="0.3">
      <c r="A316">
        <f t="shared" ca="1" si="29"/>
        <v>5</v>
      </c>
      <c r="C316">
        <f ca="1">COUNTIF(A$2:A316,1)</f>
        <v>43</v>
      </c>
      <c r="D316">
        <f ca="1">COUNTIF($A$2:$A316,2)</f>
        <v>63</v>
      </c>
      <c r="E316">
        <f ca="1">COUNTIF($A$2:$A316,3)</f>
        <v>54</v>
      </c>
      <c r="F316">
        <f ca="1">COUNTIF($A$2:$A316,4)</f>
        <v>52</v>
      </c>
      <c r="G316">
        <f ca="1">COUNTIF($A$2:$A316,5)</f>
        <v>60</v>
      </c>
      <c r="H316">
        <f ca="1">COUNTIF($A$2:$A316,6)</f>
        <v>43</v>
      </c>
      <c r="I316">
        <f t="shared" ca="1" si="30"/>
        <v>13.65079365079365</v>
      </c>
      <c r="J316">
        <f t="shared" ca="1" si="31"/>
        <v>20</v>
      </c>
      <c r="K316">
        <f t="shared" ca="1" si="32"/>
        <v>17.142857142857142</v>
      </c>
      <c r="L316">
        <f t="shared" ca="1" si="33"/>
        <v>16.507936507936506</v>
      </c>
      <c r="M316">
        <f t="shared" ca="1" si="34"/>
        <v>19.047619047619047</v>
      </c>
      <c r="N316">
        <f t="shared" ca="1" si="35"/>
        <v>13.65079365079365</v>
      </c>
    </row>
    <row r="317" spans="1:14" x14ac:dyDescent="0.3">
      <c r="A317">
        <f t="shared" ca="1" si="29"/>
        <v>3</v>
      </c>
      <c r="C317">
        <f ca="1">COUNTIF(A$2:A317,1)</f>
        <v>43</v>
      </c>
      <c r="D317">
        <f ca="1">COUNTIF($A$2:$A317,2)</f>
        <v>63</v>
      </c>
      <c r="E317">
        <f ca="1">COUNTIF($A$2:$A317,3)</f>
        <v>55</v>
      </c>
      <c r="F317">
        <f ca="1">COUNTIF($A$2:$A317,4)</f>
        <v>52</v>
      </c>
      <c r="G317">
        <f ca="1">COUNTIF($A$2:$A317,5)</f>
        <v>60</v>
      </c>
      <c r="H317">
        <f ca="1">COUNTIF($A$2:$A317,6)</f>
        <v>43</v>
      </c>
      <c r="I317">
        <f t="shared" ca="1" si="30"/>
        <v>13.60759493670886</v>
      </c>
      <c r="J317">
        <f t="shared" ca="1" si="31"/>
        <v>19.936708860759495</v>
      </c>
      <c r="K317">
        <f t="shared" ca="1" si="32"/>
        <v>17.405063291139243</v>
      </c>
      <c r="L317">
        <f t="shared" ca="1" si="33"/>
        <v>16.455696202531644</v>
      </c>
      <c r="M317">
        <f t="shared" ca="1" si="34"/>
        <v>18.9873417721519</v>
      </c>
      <c r="N317">
        <f t="shared" ca="1" si="35"/>
        <v>13.60759493670886</v>
      </c>
    </row>
    <row r="318" spans="1:14" x14ac:dyDescent="0.3">
      <c r="A318">
        <f t="shared" ca="1" si="29"/>
        <v>2</v>
      </c>
      <c r="C318">
        <f ca="1">COUNTIF(A$2:A318,1)</f>
        <v>43</v>
      </c>
      <c r="D318">
        <f ca="1">COUNTIF($A$2:$A318,2)</f>
        <v>64</v>
      </c>
      <c r="E318">
        <f ca="1">COUNTIF($A$2:$A318,3)</f>
        <v>55</v>
      </c>
      <c r="F318">
        <f ca="1">COUNTIF($A$2:$A318,4)</f>
        <v>52</v>
      </c>
      <c r="G318">
        <f ca="1">COUNTIF($A$2:$A318,5)</f>
        <v>60</v>
      </c>
      <c r="H318">
        <f ca="1">COUNTIF($A$2:$A318,6)</f>
        <v>43</v>
      </c>
      <c r="I318">
        <f t="shared" ca="1" si="30"/>
        <v>13.564668769716087</v>
      </c>
      <c r="J318">
        <f t="shared" ca="1" si="31"/>
        <v>20.189274447949526</v>
      </c>
      <c r="K318">
        <f t="shared" ca="1" si="32"/>
        <v>17.350157728706623</v>
      </c>
      <c r="L318">
        <f t="shared" ca="1" si="33"/>
        <v>16.403785488958992</v>
      </c>
      <c r="M318">
        <f t="shared" ca="1" si="34"/>
        <v>18.927444794952681</v>
      </c>
      <c r="N318">
        <f t="shared" ca="1" si="35"/>
        <v>13.564668769716087</v>
      </c>
    </row>
    <row r="319" spans="1:14" x14ac:dyDescent="0.3">
      <c r="A319">
        <f t="shared" ca="1" si="29"/>
        <v>6</v>
      </c>
      <c r="C319">
        <f ca="1">COUNTIF(A$2:A319,1)</f>
        <v>43</v>
      </c>
      <c r="D319">
        <f ca="1">COUNTIF($A$2:$A319,2)</f>
        <v>64</v>
      </c>
      <c r="E319">
        <f ca="1">COUNTIF($A$2:$A319,3)</f>
        <v>55</v>
      </c>
      <c r="F319">
        <f ca="1">COUNTIF($A$2:$A319,4)</f>
        <v>52</v>
      </c>
      <c r="G319">
        <f ca="1">COUNTIF($A$2:$A319,5)</f>
        <v>60</v>
      </c>
      <c r="H319">
        <f ca="1">COUNTIF($A$2:$A319,6)</f>
        <v>44</v>
      </c>
      <c r="I319">
        <f t="shared" ca="1" si="30"/>
        <v>13.522012578616351</v>
      </c>
      <c r="J319">
        <f t="shared" ca="1" si="31"/>
        <v>20.125786163522015</v>
      </c>
      <c r="K319">
        <f t="shared" ca="1" si="32"/>
        <v>17.29559748427673</v>
      </c>
      <c r="L319">
        <f t="shared" ca="1" si="33"/>
        <v>16.352201257861633</v>
      </c>
      <c r="M319">
        <f t="shared" ca="1" si="34"/>
        <v>18.867924528301888</v>
      </c>
      <c r="N319">
        <f t="shared" ca="1" si="35"/>
        <v>13.836477987421384</v>
      </c>
    </row>
    <row r="320" spans="1:14" x14ac:dyDescent="0.3">
      <c r="A320">
        <f t="shared" ca="1" si="29"/>
        <v>6</v>
      </c>
      <c r="C320">
        <f ca="1">COUNTIF(A$2:A320,1)</f>
        <v>43</v>
      </c>
      <c r="D320">
        <f ca="1">COUNTIF($A$2:$A320,2)</f>
        <v>64</v>
      </c>
      <c r="E320">
        <f ca="1">COUNTIF($A$2:$A320,3)</f>
        <v>55</v>
      </c>
      <c r="F320">
        <f ca="1">COUNTIF($A$2:$A320,4)</f>
        <v>52</v>
      </c>
      <c r="G320">
        <f ca="1">COUNTIF($A$2:$A320,5)</f>
        <v>60</v>
      </c>
      <c r="H320">
        <f ca="1">COUNTIF($A$2:$A320,6)</f>
        <v>45</v>
      </c>
      <c r="I320">
        <f t="shared" ca="1" si="30"/>
        <v>13.479623824451412</v>
      </c>
      <c r="J320">
        <f t="shared" ca="1" si="31"/>
        <v>20.062695924764888</v>
      </c>
      <c r="K320">
        <f t="shared" ca="1" si="32"/>
        <v>17.241379310344829</v>
      </c>
      <c r="L320">
        <f t="shared" ca="1" si="33"/>
        <v>16.300940438871471</v>
      </c>
      <c r="M320">
        <f t="shared" ca="1" si="34"/>
        <v>18.808777429467085</v>
      </c>
      <c r="N320">
        <f t="shared" ca="1" si="35"/>
        <v>14.106583072100312</v>
      </c>
    </row>
    <row r="321" spans="1:14" x14ac:dyDescent="0.3">
      <c r="A321">
        <f t="shared" ca="1" si="29"/>
        <v>5</v>
      </c>
      <c r="C321">
        <f ca="1">COUNTIF(A$2:A321,1)</f>
        <v>43</v>
      </c>
      <c r="D321">
        <f ca="1">COUNTIF($A$2:$A321,2)</f>
        <v>64</v>
      </c>
      <c r="E321">
        <f ca="1">COUNTIF($A$2:$A321,3)</f>
        <v>55</v>
      </c>
      <c r="F321">
        <f ca="1">COUNTIF($A$2:$A321,4)</f>
        <v>52</v>
      </c>
      <c r="G321">
        <f ca="1">COUNTIF($A$2:$A321,5)</f>
        <v>61</v>
      </c>
      <c r="H321">
        <f ca="1">COUNTIF($A$2:$A321,6)</f>
        <v>45</v>
      </c>
      <c r="I321">
        <f t="shared" ca="1" si="30"/>
        <v>13.4375</v>
      </c>
      <c r="J321">
        <f t="shared" ca="1" si="31"/>
        <v>20</v>
      </c>
      <c r="K321">
        <f t="shared" ca="1" si="32"/>
        <v>17.1875</v>
      </c>
      <c r="L321">
        <f t="shared" ca="1" si="33"/>
        <v>16.25</v>
      </c>
      <c r="M321">
        <f t="shared" ca="1" si="34"/>
        <v>19.0625</v>
      </c>
      <c r="N321">
        <f t="shared" ca="1" si="35"/>
        <v>14.0625</v>
      </c>
    </row>
    <row r="322" spans="1:14" x14ac:dyDescent="0.3">
      <c r="A322">
        <f t="shared" ca="1" si="29"/>
        <v>5</v>
      </c>
      <c r="C322">
        <f ca="1">COUNTIF(A$2:A322,1)</f>
        <v>43</v>
      </c>
      <c r="D322">
        <f ca="1">COUNTIF($A$2:$A322,2)</f>
        <v>64</v>
      </c>
      <c r="E322">
        <f ca="1">COUNTIF($A$2:$A322,3)</f>
        <v>55</v>
      </c>
      <c r="F322">
        <f ca="1">COUNTIF($A$2:$A322,4)</f>
        <v>52</v>
      </c>
      <c r="G322">
        <f ca="1">COUNTIF($A$2:$A322,5)</f>
        <v>62</v>
      </c>
      <c r="H322">
        <f ca="1">COUNTIF($A$2:$A322,6)</f>
        <v>45</v>
      </c>
      <c r="I322">
        <f t="shared" ca="1" si="30"/>
        <v>13.395638629283487</v>
      </c>
      <c r="J322">
        <f t="shared" ca="1" si="31"/>
        <v>19.937694704049843</v>
      </c>
      <c r="K322">
        <f t="shared" ca="1" si="32"/>
        <v>17.133956386292834</v>
      </c>
      <c r="L322">
        <f t="shared" ca="1" si="33"/>
        <v>16.199376947040498</v>
      </c>
      <c r="M322">
        <f t="shared" ca="1" si="34"/>
        <v>19.314641744548286</v>
      </c>
      <c r="N322">
        <f t="shared" ca="1" si="35"/>
        <v>14.018691588785046</v>
      </c>
    </row>
    <row r="323" spans="1:14" x14ac:dyDescent="0.3">
      <c r="A323">
        <f t="shared" ref="A323:A386" ca="1" si="36">ROUNDDOWN(RAND()*6+1,0)</f>
        <v>4</v>
      </c>
      <c r="C323">
        <f ca="1">COUNTIF(A$2:A323,1)</f>
        <v>43</v>
      </c>
      <c r="D323">
        <f ca="1">COUNTIF($A$2:$A323,2)</f>
        <v>64</v>
      </c>
      <c r="E323">
        <f ca="1">COUNTIF($A$2:$A323,3)</f>
        <v>55</v>
      </c>
      <c r="F323">
        <f ca="1">COUNTIF($A$2:$A323,4)</f>
        <v>53</v>
      </c>
      <c r="G323">
        <f ca="1">COUNTIF($A$2:$A323,5)</f>
        <v>62</v>
      </c>
      <c r="H323">
        <f ca="1">COUNTIF($A$2:$A323,6)</f>
        <v>45</v>
      </c>
      <c r="I323">
        <f t="shared" ref="I323:I386" ca="1" si="37">C323/(SUM($C323:$H323))*100</f>
        <v>13.354037267080745</v>
      </c>
      <c r="J323">
        <f t="shared" ref="J323:J386" ca="1" si="38">D323/(SUM($C323:$H323))*100</f>
        <v>19.875776397515526</v>
      </c>
      <c r="K323">
        <f t="shared" ref="K323:K386" ca="1" si="39">E323/(SUM($C323:$H323))*100</f>
        <v>17.080745341614907</v>
      </c>
      <c r="L323">
        <f t="shared" ref="L323:L386" ca="1" si="40">F323/(SUM($C323:$H323))*100</f>
        <v>16.459627329192546</v>
      </c>
      <c r="M323">
        <f t="shared" ref="M323:M386" ca="1" si="41">G323/(SUM($C323:$H323))*100</f>
        <v>19.254658385093169</v>
      </c>
      <c r="N323">
        <f t="shared" ref="N323:N386" ca="1" si="42">H323/(SUM($C323:$H323))*100</f>
        <v>13.975155279503104</v>
      </c>
    </row>
    <row r="324" spans="1:14" x14ac:dyDescent="0.3">
      <c r="A324">
        <f t="shared" ca="1" si="36"/>
        <v>5</v>
      </c>
      <c r="C324">
        <f ca="1">COUNTIF(A$2:A324,1)</f>
        <v>43</v>
      </c>
      <c r="D324">
        <f ca="1">COUNTIF($A$2:$A324,2)</f>
        <v>64</v>
      </c>
      <c r="E324">
        <f ca="1">COUNTIF($A$2:$A324,3)</f>
        <v>55</v>
      </c>
      <c r="F324">
        <f ca="1">COUNTIF($A$2:$A324,4)</f>
        <v>53</v>
      </c>
      <c r="G324">
        <f ca="1">COUNTIF($A$2:$A324,5)</f>
        <v>63</v>
      </c>
      <c r="H324">
        <f ca="1">COUNTIF($A$2:$A324,6)</f>
        <v>45</v>
      </c>
      <c r="I324">
        <f t="shared" ca="1" si="37"/>
        <v>13.312693498452013</v>
      </c>
      <c r="J324">
        <f t="shared" ca="1" si="38"/>
        <v>19.814241486068113</v>
      </c>
      <c r="K324">
        <f t="shared" ca="1" si="39"/>
        <v>17.027863777089784</v>
      </c>
      <c r="L324">
        <f t="shared" ca="1" si="40"/>
        <v>16.408668730650156</v>
      </c>
      <c r="M324">
        <f t="shared" ca="1" si="41"/>
        <v>19.504643962848299</v>
      </c>
      <c r="N324">
        <f t="shared" ca="1" si="42"/>
        <v>13.93188854489164</v>
      </c>
    </row>
    <row r="325" spans="1:14" x14ac:dyDescent="0.3">
      <c r="A325">
        <f t="shared" ca="1" si="36"/>
        <v>5</v>
      </c>
      <c r="C325">
        <f ca="1">COUNTIF(A$2:A325,1)</f>
        <v>43</v>
      </c>
      <c r="D325">
        <f ca="1">COUNTIF($A$2:$A325,2)</f>
        <v>64</v>
      </c>
      <c r="E325">
        <f ca="1">COUNTIF($A$2:$A325,3)</f>
        <v>55</v>
      </c>
      <c r="F325">
        <f ca="1">COUNTIF($A$2:$A325,4)</f>
        <v>53</v>
      </c>
      <c r="G325">
        <f ca="1">COUNTIF($A$2:$A325,5)</f>
        <v>64</v>
      </c>
      <c r="H325">
        <f ca="1">COUNTIF($A$2:$A325,6)</f>
        <v>45</v>
      </c>
      <c r="I325">
        <f t="shared" ca="1" si="37"/>
        <v>13.271604938271606</v>
      </c>
      <c r="J325">
        <f t="shared" ca="1" si="38"/>
        <v>19.753086419753085</v>
      </c>
      <c r="K325">
        <f t="shared" ca="1" si="39"/>
        <v>16.97530864197531</v>
      </c>
      <c r="L325">
        <f t="shared" ca="1" si="40"/>
        <v>16.358024691358025</v>
      </c>
      <c r="M325">
        <f t="shared" ca="1" si="41"/>
        <v>19.753086419753085</v>
      </c>
      <c r="N325">
        <f t="shared" ca="1" si="42"/>
        <v>13.888888888888889</v>
      </c>
    </row>
    <row r="326" spans="1:14" x14ac:dyDescent="0.3">
      <c r="A326">
        <f t="shared" ca="1" si="36"/>
        <v>2</v>
      </c>
      <c r="C326">
        <f ca="1">COUNTIF(A$2:A326,1)</f>
        <v>43</v>
      </c>
      <c r="D326">
        <f ca="1">COUNTIF($A$2:$A326,2)</f>
        <v>65</v>
      </c>
      <c r="E326">
        <f ca="1">COUNTIF($A$2:$A326,3)</f>
        <v>55</v>
      </c>
      <c r="F326">
        <f ca="1">COUNTIF($A$2:$A326,4)</f>
        <v>53</v>
      </c>
      <c r="G326">
        <f ca="1">COUNTIF($A$2:$A326,5)</f>
        <v>64</v>
      </c>
      <c r="H326">
        <f ca="1">COUNTIF($A$2:$A326,6)</f>
        <v>45</v>
      </c>
      <c r="I326">
        <f t="shared" ca="1" si="37"/>
        <v>13.230769230769232</v>
      </c>
      <c r="J326">
        <f t="shared" ca="1" si="38"/>
        <v>20</v>
      </c>
      <c r="K326">
        <f t="shared" ca="1" si="39"/>
        <v>16.923076923076923</v>
      </c>
      <c r="L326">
        <f t="shared" ca="1" si="40"/>
        <v>16.307692307692307</v>
      </c>
      <c r="M326">
        <f t="shared" ca="1" si="41"/>
        <v>19.692307692307693</v>
      </c>
      <c r="N326">
        <f t="shared" ca="1" si="42"/>
        <v>13.846153846153847</v>
      </c>
    </row>
    <row r="327" spans="1:14" x14ac:dyDescent="0.3">
      <c r="A327">
        <f t="shared" ca="1" si="36"/>
        <v>6</v>
      </c>
      <c r="C327">
        <f ca="1">COUNTIF(A$2:A327,1)</f>
        <v>43</v>
      </c>
      <c r="D327">
        <f ca="1">COUNTIF($A$2:$A327,2)</f>
        <v>65</v>
      </c>
      <c r="E327">
        <f ca="1">COUNTIF($A$2:$A327,3)</f>
        <v>55</v>
      </c>
      <c r="F327">
        <f ca="1">COUNTIF($A$2:$A327,4)</f>
        <v>53</v>
      </c>
      <c r="G327">
        <f ca="1">COUNTIF($A$2:$A327,5)</f>
        <v>64</v>
      </c>
      <c r="H327">
        <f ca="1">COUNTIF($A$2:$A327,6)</f>
        <v>46</v>
      </c>
      <c r="I327">
        <f t="shared" ca="1" si="37"/>
        <v>13.190184049079754</v>
      </c>
      <c r="J327">
        <f t="shared" ca="1" si="38"/>
        <v>19.938650306748464</v>
      </c>
      <c r="K327">
        <f t="shared" ca="1" si="39"/>
        <v>16.871165644171779</v>
      </c>
      <c r="L327">
        <f t="shared" ca="1" si="40"/>
        <v>16.257668711656443</v>
      </c>
      <c r="M327">
        <f t="shared" ca="1" si="41"/>
        <v>19.631901840490798</v>
      </c>
      <c r="N327">
        <f t="shared" ca="1" si="42"/>
        <v>14.110429447852759</v>
      </c>
    </row>
    <row r="328" spans="1:14" x14ac:dyDescent="0.3">
      <c r="A328">
        <f t="shared" ca="1" si="36"/>
        <v>3</v>
      </c>
      <c r="C328">
        <f ca="1">COUNTIF(A$2:A328,1)</f>
        <v>43</v>
      </c>
      <c r="D328">
        <f ca="1">COUNTIF($A$2:$A328,2)</f>
        <v>65</v>
      </c>
      <c r="E328">
        <f ca="1">COUNTIF($A$2:$A328,3)</f>
        <v>56</v>
      </c>
      <c r="F328">
        <f ca="1">COUNTIF($A$2:$A328,4)</f>
        <v>53</v>
      </c>
      <c r="G328">
        <f ca="1">COUNTIF($A$2:$A328,5)</f>
        <v>64</v>
      </c>
      <c r="H328">
        <f ca="1">COUNTIF($A$2:$A328,6)</f>
        <v>46</v>
      </c>
      <c r="I328">
        <f t="shared" ca="1" si="37"/>
        <v>13.149847094801222</v>
      </c>
      <c r="J328">
        <f t="shared" ca="1" si="38"/>
        <v>19.877675840978593</v>
      </c>
      <c r="K328">
        <f t="shared" ca="1" si="39"/>
        <v>17.12538226299694</v>
      </c>
      <c r="L328">
        <f t="shared" ca="1" si="40"/>
        <v>16.207951070336392</v>
      </c>
      <c r="M328">
        <f t="shared" ca="1" si="41"/>
        <v>19.571865443425075</v>
      </c>
      <c r="N328">
        <f t="shared" ca="1" si="42"/>
        <v>14.067278287461773</v>
      </c>
    </row>
    <row r="329" spans="1:14" x14ac:dyDescent="0.3">
      <c r="A329">
        <f t="shared" ca="1" si="36"/>
        <v>4</v>
      </c>
      <c r="C329">
        <f ca="1">COUNTIF(A$2:A329,1)</f>
        <v>43</v>
      </c>
      <c r="D329">
        <f ca="1">COUNTIF($A$2:$A329,2)</f>
        <v>65</v>
      </c>
      <c r="E329">
        <f ca="1">COUNTIF($A$2:$A329,3)</f>
        <v>56</v>
      </c>
      <c r="F329">
        <f ca="1">COUNTIF($A$2:$A329,4)</f>
        <v>54</v>
      </c>
      <c r="G329">
        <f ca="1">COUNTIF($A$2:$A329,5)</f>
        <v>64</v>
      </c>
      <c r="H329">
        <f ca="1">COUNTIF($A$2:$A329,6)</f>
        <v>46</v>
      </c>
      <c r="I329">
        <f t="shared" ca="1" si="37"/>
        <v>13.109756097560975</v>
      </c>
      <c r="J329">
        <f t="shared" ca="1" si="38"/>
        <v>19.817073170731707</v>
      </c>
      <c r="K329">
        <f t="shared" ca="1" si="39"/>
        <v>17.073170731707318</v>
      </c>
      <c r="L329">
        <f t="shared" ca="1" si="40"/>
        <v>16.463414634146343</v>
      </c>
      <c r="M329">
        <f t="shared" ca="1" si="41"/>
        <v>19.512195121951219</v>
      </c>
      <c r="N329">
        <f t="shared" ca="1" si="42"/>
        <v>14.02439024390244</v>
      </c>
    </row>
    <row r="330" spans="1:14" x14ac:dyDescent="0.3">
      <c r="A330">
        <f t="shared" ca="1" si="36"/>
        <v>3</v>
      </c>
      <c r="C330">
        <f ca="1">COUNTIF(A$2:A330,1)</f>
        <v>43</v>
      </c>
      <c r="D330">
        <f ca="1">COUNTIF($A$2:$A330,2)</f>
        <v>65</v>
      </c>
      <c r="E330">
        <f ca="1">COUNTIF($A$2:$A330,3)</f>
        <v>57</v>
      </c>
      <c r="F330">
        <f ca="1">COUNTIF($A$2:$A330,4)</f>
        <v>54</v>
      </c>
      <c r="G330">
        <f ca="1">COUNTIF($A$2:$A330,5)</f>
        <v>64</v>
      </c>
      <c r="H330">
        <f ca="1">COUNTIF($A$2:$A330,6)</f>
        <v>46</v>
      </c>
      <c r="I330">
        <f t="shared" ca="1" si="37"/>
        <v>13.069908814589665</v>
      </c>
      <c r="J330">
        <f t="shared" ca="1" si="38"/>
        <v>19.756838905775076</v>
      </c>
      <c r="K330">
        <f t="shared" ca="1" si="39"/>
        <v>17.325227963525837</v>
      </c>
      <c r="L330">
        <f t="shared" ca="1" si="40"/>
        <v>16.413373860182372</v>
      </c>
      <c r="M330">
        <f t="shared" ca="1" si="41"/>
        <v>19.45288753799392</v>
      </c>
      <c r="N330">
        <f t="shared" ca="1" si="42"/>
        <v>13.98176291793313</v>
      </c>
    </row>
    <row r="331" spans="1:14" x14ac:dyDescent="0.3">
      <c r="A331">
        <f t="shared" ca="1" si="36"/>
        <v>4</v>
      </c>
      <c r="C331">
        <f ca="1">COUNTIF(A$2:A331,1)</f>
        <v>43</v>
      </c>
      <c r="D331">
        <f ca="1">COUNTIF($A$2:$A331,2)</f>
        <v>65</v>
      </c>
      <c r="E331">
        <f ca="1">COUNTIF($A$2:$A331,3)</f>
        <v>57</v>
      </c>
      <c r="F331">
        <f ca="1">COUNTIF($A$2:$A331,4)</f>
        <v>55</v>
      </c>
      <c r="G331">
        <f ca="1">COUNTIF($A$2:$A331,5)</f>
        <v>64</v>
      </c>
      <c r="H331">
        <f ca="1">COUNTIF($A$2:$A331,6)</f>
        <v>46</v>
      </c>
      <c r="I331">
        <f t="shared" ca="1" si="37"/>
        <v>13.030303030303031</v>
      </c>
      <c r="J331">
        <f t="shared" ca="1" si="38"/>
        <v>19.696969696969695</v>
      </c>
      <c r="K331">
        <f t="shared" ca="1" si="39"/>
        <v>17.272727272727273</v>
      </c>
      <c r="L331">
        <f t="shared" ca="1" si="40"/>
        <v>16.666666666666664</v>
      </c>
      <c r="M331">
        <f t="shared" ca="1" si="41"/>
        <v>19.393939393939394</v>
      </c>
      <c r="N331">
        <f t="shared" ca="1" si="42"/>
        <v>13.939393939393941</v>
      </c>
    </row>
    <row r="332" spans="1:14" x14ac:dyDescent="0.3">
      <c r="A332">
        <f t="shared" ca="1" si="36"/>
        <v>1</v>
      </c>
      <c r="C332">
        <f ca="1">COUNTIF(A$2:A332,1)</f>
        <v>44</v>
      </c>
      <c r="D332">
        <f ca="1">COUNTIF($A$2:$A332,2)</f>
        <v>65</v>
      </c>
      <c r="E332">
        <f ca="1">COUNTIF($A$2:$A332,3)</f>
        <v>57</v>
      </c>
      <c r="F332">
        <f ca="1">COUNTIF($A$2:$A332,4)</f>
        <v>55</v>
      </c>
      <c r="G332">
        <f ca="1">COUNTIF($A$2:$A332,5)</f>
        <v>64</v>
      </c>
      <c r="H332">
        <f ca="1">COUNTIF($A$2:$A332,6)</f>
        <v>46</v>
      </c>
      <c r="I332">
        <f t="shared" ca="1" si="37"/>
        <v>13.293051359516618</v>
      </c>
      <c r="J332">
        <f t="shared" ca="1" si="38"/>
        <v>19.637462235649547</v>
      </c>
      <c r="K332">
        <f t="shared" ca="1" si="39"/>
        <v>17.220543806646525</v>
      </c>
      <c r="L332">
        <f t="shared" ca="1" si="40"/>
        <v>16.61631419939577</v>
      </c>
      <c r="M332">
        <f t="shared" ca="1" si="41"/>
        <v>19.335347432024168</v>
      </c>
      <c r="N332">
        <f t="shared" ca="1" si="42"/>
        <v>13.897280966767372</v>
      </c>
    </row>
    <row r="333" spans="1:14" x14ac:dyDescent="0.3">
      <c r="A333">
        <f t="shared" ca="1" si="36"/>
        <v>2</v>
      </c>
      <c r="C333">
        <f ca="1">COUNTIF(A$2:A333,1)</f>
        <v>44</v>
      </c>
      <c r="D333">
        <f ca="1">COUNTIF($A$2:$A333,2)</f>
        <v>66</v>
      </c>
      <c r="E333">
        <f ca="1">COUNTIF($A$2:$A333,3)</f>
        <v>57</v>
      </c>
      <c r="F333">
        <f ca="1">COUNTIF($A$2:$A333,4)</f>
        <v>55</v>
      </c>
      <c r="G333">
        <f ca="1">COUNTIF($A$2:$A333,5)</f>
        <v>64</v>
      </c>
      <c r="H333">
        <f ca="1">COUNTIF($A$2:$A333,6)</f>
        <v>46</v>
      </c>
      <c r="I333">
        <f t="shared" ca="1" si="37"/>
        <v>13.253012048192772</v>
      </c>
      <c r="J333">
        <f t="shared" ca="1" si="38"/>
        <v>19.879518072289155</v>
      </c>
      <c r="K333">
        <f t="shared" ca="1" si="39"/>
        <v>17.168674698795179</v>
      </c>
      <c r="L333">
        <f t="shared" ca="1" si="40"/>
        <v>16.566265060240966</v>
      </c>
      <c r="M333">
        <f t="shared" ca="1" si="41"/>
        <v>19.277108433734941</v>
      </c>
      <c r="N333">
        <f t="shared" ca="1" si="42"/>
        <v>13.855421686746988</v>
      </c>
    </row>
    <row r="334" spans="1:14" x14ac:dyDescent="0.3">
      <c r="A334">
        <f t="shared" ca="1" si="36"/>
        <v>4</v>
      </c>
      <c r="C334">
        <f ca="1">COUNTIF(A$2:A334,1)</f>
        <v>44</v>
      </c>
      <c r="D334">
        <f ca="1">COUNTIF($A$2:$A334,2)</f>
        <v>66</v>
      </c>
      <c r="E334">
        <f ca="1">COUNTIF($A$2:$A334,3)</f>
        <v>57</v>
      </c>
      <c r="F334">
        <f ca="1">COUNTIF($A$2:$A334,4)</f>
        <v>56</v>
      </c>
      <c r="G334">
        <f ca="1">COUNTIF($A$2:$A334,5)</f>
        <v>64</v>
      </c>
      <c r="H334">
        <f ca="1">COUNTIF($A$2:$A334,6)</f>
        <v>46</v>
      </c>
      <c r="I334">
        <f t="shared" ca="1" si="37"/>
        <v>13.213213213213212</v>
      </c>
      <c r="J334">
        <f t="shared" ca="1" si="38"/>
        <v>19.81981981981982</v>
      </c>
      <c r="K334">
        <f t="shared" ca="1" si="39"/>
        <v>17.117117117117118</v>
      </c>
      <c r="L334">
        <f t="shared" ca="1" si="40"/>
        <v>16.816816816816818</v>
      </c>
      <c r="M334">
        <f t="shared" ca="1" si="41"/>
        <v>19.219219219219219</v>
      </c>
      <c r="N334">
        <f t="shared" ca="1" si="42"/>
        <v>13.813813813813812</v>
      </c>
    </row>
    <row r="335" spans="1:14" x14ac:dyDescent="0.3">
      <c r="A335">
        <f t="shared" ca="1" si="36"/>
        <v>3</v>
      </c>
      <c r="C335">
        <f ca="1">COUNTIF(A$2:A335,1)</f>
        <v>44</v>
      </c>
      <c r="D335">
        <f ca="1">COUNTIF($A$2:$A335,2)</f>
        <v>66</v>
      </c>
      <c r="E335">
        <f ca="1">COUNTIF($A$2:$A335,3)</f>
        <v>58</v>
      </c>
      <c r="F335">
        <f ca="1">COUNTIF($A$2:$A335,4)</f>
        <v>56</v>
      </c>
      <c r="G335">
        <f ca="1">COUNTIF($A$2:$A335,5)</f>
        <v>64</v>
      </c>
      <c r="H335">
        <f ca="1">COUNTIF($A$2:$A335,6)</f>
        <v>46</v>
      </c>
      <c r="I335">
        <f t="shared" ca="1" si="37"/>
        <v>13.17365269461078</v>
      </c>
      <c r="J335">
        <f t="shared" ca="1" si="38"/>
        <v>19.760479041916167</v>
      </c>
      <c r="K335">
        <f t="shared" ca="1" si="39"/>
        <v>17.365269461077844</v>
      </c>
      <c r="L335">
        <f t="shared" ca="1" si="40"/>
        <v>16.766467065868262</v>
      </c>
      <c r="M335">
        <f t="shared" ca="1" si="41"/>
        <v>19.161676646706589</v>
      </c>
      <c r="N335">
        <f t="shared" ca="1" si="42"/>
        <v>13.77245508982036</v>
      </c>
    </row>
    <row r="336" spans="1:14" x14ac:dyDescent="0.3">
      <c r="A336">
        <f t="shared" ca="1" si="36"/>
        <v>4</v>
      </c>
      <c r="C336">
        <f ca="1">COUNTIF(A$2:A336,1)</f>
        <v>44</v>
      </c>
      <c r="D336">
        <f ca="1">COUNTIF($A$2:$A336,2)</f>
        <v>66</v>
      </c>
      <c r="E336">
        <f ca="1">COUNTIF($A$2:$A336,3)</f>
        <v>58</v>
      </c>
      <c r="F336">
        <f ca="1">COUNTIF($A$2:$A336,4)</f>
        <v>57</v>
      </c>
      <c r="G336">
        <f ca="1">COUNTIF($A$2:$A336,5)</f>
        <v>64</v>
      </c>
      <c r="H336">
        <f ca="1">COUNTIF($A$2:$A336,6)</f>
        <v>46</v>
      </c>
      <c r="I336">
        <f t="shared" ca="1" si="37"/>
        <v>13.134328358208954</v>
      </c>
      <c r="J336">
        <f t="shared" ca="1" si="38"/>
        <v>19.701492537313435</v>
      </c>
      <c r="K336">
        <f t="shared" ca="1" si="39"/>
        <v>17.313432835820898</v>
      </c>
      <c r="L336">
        <f t="shared" ca="1" si="40"/>
        <v>17.014925373134329</v>
      </c>
      <c r="M336">
        <f t="shared" ca="1" si="41"/>
        <v>19.1044776119403</v>
      </c>
      <c r="N336">
        <f t="shared" ca="1" si="42"/>
        <v>13.73134328358209</v>
      </c>
    </row>
    <row r="337" spans="1:14" x14ac:dyDescent="0.3">
      <c r="A337">
        <f t="shared" ca="1" si="36"/>
        <v>2</v>
      </c>
      <c r="C337">
        <f ca="1">COUNTIF(A$2:A337,1)</f>
        <v>44</v>
      </c>
      <c r="D337">
        <f ca="1">COUNTIF($A$2:$A337,2)</f>
        <v>67</v>
      </c>
      <c r="E337">
        <f ca="1">COUNTIF($A$2:$A337,3)</f>
        <v>58</v>
      </c>
      <c r="F337">
        <f ca="1">COUNTIF($A$2:$A337,4)</f>
        <v>57</v>
      </c>
      <c r="G337">
        <f ca="1">COUNTIF($A$2:$A337,5)</f>
        <v>64</v>
      </c>
      <c r="H337">
        <f ca="1">COUNTIF($A$2:$A337,6)</f>
        <v>46</v>
      </c>
      <c r="I337">
        <f t="shared" ca="1" si="37"/>
        <v>13.095238095238097</v>
      </c>
      <c r="J337">
        <f t="shared" ca="1" si="38"/>
        <v>19.940476190476193</v>
      </c>
      <c r="K337">
        <f t="shared" ca="1" si="39"/>
        <v>17.261904761904763</v>
      </c>
      <c r="L337">
        <f t="shared" ca="1" si="40"/>
        <v>16.964285714285715</v>
      </c>
      <c r="M337">
        <f t="shared" ca="1" si="41"/>
        <v>19.047619047619047</v>
      </c>
      <c r="N337">
        <f t="shared" ca="1" si="42"/>
        <v>13.690476190476192</v>
      </c>
    </row>
    <row r="338" spans="1:14" x14ac:dyDescent="0.3">
      <c r="A338">
        <f t="shared" ca="1" si="36"/>
        <v>3</v>
      </c>
      <c r="C338">
        <f ca="1">COUNTIF(A$2:A338,1)</f>
        <v>44</v>
      </c>
      <c r="D338">
        <f ca="1">COUNTIF($A$2:$A338,2)</f>
        <v>67</v>
      </c>
      <c r="E338">
        <f ca="1">COUNTIF($A$2:$A338,3)</f>
        <v>59</v>
      </c>
      <c r="F338">
        <f ca="1">COUNTIF($A$2:$A338,4)</f>
        <v>57</v>
      </c>
      <c r="G338">
        <f ca="1">COUNTIF($A$2:$A338,5)</f>
        <v>64</v>
      </c>
      <c r="H338">
        <f ca="1">COUNTIF($A$2:$A338,6)</f>
        <v>46</v>
      </c>
      <c r="I338">
        <f t="shared" ca="1" si="37"/>
        <v>13.056379821958458</v>
      </c>
      <c r="J338">
        <f t="shared" ca="1" si="38"/>
        <v>19.881305637982198</v>
      </c>
      <c r="K338">
        <f t="shared" ca="1" si="39"/>
        <v>17.507418397626111</v>
      </c>
      <c r="L338">
        <f t="shared" ca="1" si="40"/>
        <v>16.913946587537094</v>
      </c>
      <c r="M338">
        <f t="shared" ca="1" si="41"/>
        <v>18.991097922848667</v>
      </c>
      <c r="N338">
        <f t="shared" ca="1" si="42"/>
        <v>13.649851632047477</v>
      </c>
    </row>
    <row r="339" spans="1:14" x14ac:dyDescent="0.3">
      <c r="A339">
        <f t="shared" ca="1" si="36"/>
        <v>6</v>
      </c>
      <c r="C339">
        <f ca="1">COUNTIF(A$2:A339,1)</f>
        <v>44</v>
      </c>
      <c r="D339">
        <f ca="1">COUNTIF($A$2:$A339,2)</f>
        <v>67</v>
      </c>
      <c r="E339">
        <f ca="1">COUNTIF($A$2:$A339,3)</f>
        <v>59</v>
      </c>
      <c r="F339">
        <f ca="1">COUNTIF($A$2:$A339,4)</f>
        <v>57</v>
      </c>
      <c r="G339">
        <f ca="1">COUNTIF($A$2:$A339,5)</f>
        <v>64</v>
      </c>
      <c r="H339">
        <f ca="1">COUNTIF($A$2:$A339,6)</f>
        <v>47</v>
      </c>
      <c r="I339">
        <f t="shared" ca="1" si="37"/>
        <v>13.017751479289942</v>
      </c>
      <c r="J339">
        <f t="shared" ca="1" si="38"/>
        <v>19.822485207100591</v>
      </c>
      <c r="K339">
        <f t="shared" ca="1" si="39"/>
        <v>17.45562130177515</v>
      </c>
      <c r="L339">
        <f t="shared" ca="1" si="40"/>
        <v>16.863905325443788</v>
      </c>
      <c r="M339">
        <f t="shared" ca="1" si="41"/>
        <v>18.934911242603551</v>
      </c>
      <c r="N339">
        <f t="shared" ca="1" si="42"/>
        <v>13.905325443786982</v>
      </c>
    </row>
    <row r="340" spans="1:14" x14ac:dyDescent="0.3">
      <c r="A340">
        <f t="shared" ca="1" si="36"/>
        <v>6</v>
      </c>
      <c r="C340">
        <f ca="1">COUNTIF(A$2:A340,1)</f>
        <v>44</v>
      </c>
      <c r="D340">
        <f ca="1">COUNTIF($A$2:$A340,2)</f>
        <v>67</v>
      </c>
      <c r="E340">
        <f ca="1">COUNTIF($A$2:$A340,3)</f>
        <v>59</v>
      </c>
      <c r="F340">
        <f ca="1">COUNTIF($A$2:$A340,4)</f>
        <v>57</v>
      </c>
      <c r="G340">
        <f ca="1">COUNTIF($A$2:$A340,5)</f>
        <v>64</v>
      </c>
      <c r="H340">
        <f ca="1">COUNTIF($A$2:$A340,6)</f>
        <v>48</v>
      </c>
      <c r="I340">
        <f t="shared" ca="1" si="37"/>
        <v>12.979351032448378</v>
      </c>
      <c r="J340">
        <f t="shared" ca="1" si="38"/>
        <v>19.764011799410032</v>
      </c>
      <c r="K340">
        <f t="shared" ca="1" si="39"/>
        <v>17.404129793510325</v>
      </c>
      <c r="L340">
        <f t="shared" ca="1" si="40"/>
        <v>16.814159292035399</v>
      </c>
      <c r="M340">
        <f t="shared" ca="1" si="41"/>
        <v>18.87905604719764</v>
      </c>
      <c r="N340">
        <f t="shared" ca="1" si="42"/>
        <v>14.159292035398231</v>
      </c>
    </row>
    <row r="341" spans="1:14" x14ac:dyDescent="0.3">
      <c r="A341">
        <f t="shared" ca="1" si="36"/>
        <v>4</v>
      </c>
      <c r="C341">
        <f ca="1">COUNTIF(A$2:A341,1)</f>
        <v>44</v>
      </c>
      <c r="D341">
        <f ca="1">COUNTIF($A$2:$A341,2)</f>
        <v>67</v>
      </c>
      <c r="E341">
        <f ca="1">COUNTIF($A$2:$A341,3)</f>
        <v>59</v>
      </c>
      <c r="F341">
        <f ca="1">COUNTIF($A$2:$A341,4)</f>
        <v>58</v>
      </c>
      <c r="G341">
        <f ca="1">COUNTIF($A$2:$A341,5)</f>
        <v>64</v>
      </c>
      <c r="H341">
        <f ca="1">COUNTIF($A$2:$A341,6)</f>
        <v>48</v>
      </c>
      <c r="I341">
        <f t="shared" ca="1" si="37"/>
        <v>12.941176470588237</v>
      </c>
      <c r="J341">
        <f t="shared" ca="1" si="38"/>
        <v>19.705882352941178</v>
      </c>
      <c r="K341">
        <f t="shared" ca="1" si="39"/>
        <v>17.352941176470587</v>
      </c>
      <c r="L341">
        <f t="shared" ca="1" si="40"/>
        <v>17.058823529411764</v>
      </c>
      <c r="M341">
        <f t="shared" ca="1" si="41"/>
        <v>18.823529411764707</v>
      </c>
      <c r="N341">
        <f t="shared" ca="1" si="42"/>
        <v>14.117647058823529</v>
      </c>
    </row>
    <row r="342" spans="1:14" x14ac:dyDescent="0.3">
      <c r="A342">
        <f t="shared" ca="1" si="36"/>
        <v>1</v>
      </c>
      <c r="C342">
        <f ca="1">COUNTIF(A$2:A342,1)</f>
        <v>45</v>
      </c>
      <c r="D342">
        <f ca="1">COUNTIF($A$2:$A342,2)</f>
        <v>67</v>
      </c>
      <c r="E342">
        <f ca="1">COUNTIF($A$2:$A342,3)</f>
        <v>59</v>
      </c>
      <c r="F342">
        <f ca="1">COUNTIF($A$2:$A342,4)</f>
        <v>58</v>
      </c>
      <c r="G342">
        <f ca="1">COUNTIF($A$2:$A342,5)</f>
        <v>64</v>
      </c>
      <c r="H342">
        <f ca="1">COUNTIF($A$2:$A342,6)</f>
        <v>48</v>
      </c>
      <c r="I342">
        <f t="shared" ca="1" si="37"/>
        <v>13.196480938416421</v>
      </c>
      <c r="J342">
        <f t="shared" ca="1" si="38"/>
        <v>19.648093841642229</v>
      </c>
      <c r="K342">
        <f t="shared" ca="1" si="39"/>
        <v>17.302052785923756</v>
      </c>
      <c r="L342">
        <f t="shared" ca="1" si="40"/>
        <v>17.008797653958943</v>
      </c>
      <c r="M342">
        <f t="shared" ca="1" si="41"/>
        <v>18.768328445747802</v>
      </c>
      <c r="N342">
        <f t="shared" ca="1" si="42"/>
        <v>14.076246334310852</v>
      </c>
    </row>
    <row r="343" spans="1:14" x14ac:dyDescent="0.3">
      <c r="A343">
        <f t="shared" ca="1" si="36"/>
        <v>6</v>
      </c>
      <c r="C343">
        <f ca="1">COUNTIF(A$2:A343,1)</f>
        <v>45</v>
      </c>
      <c r="D343">
        <f ca="1">COUNTIF($A$2:$A343,2)</f>
        <v>67</v>
      </c>
      <c r="E343">
        <f ca="1">COUNTIF($A$2:$A343,3)</f>
        <v>59</v>
      </c>
      <c r="F343">
        <f ca="1">COUNTIF($A$2:$A343,4)</f>
        <v>58</v>
      </c>
      <c r="G343">
        <f ca="1">COUNTIF($A$2:$A343,5)</f>
        <v>64</v>
      </c>
      <c r="H343">
        <f ca="1">COUNTIF($A$2:$A343,6)</f>
        <v>49</v>
      </c>
      <c r="I343">
        <f t="shared" ca="1" si="37"/>
        <v>13.157894736842104</v>
      </c>
      <c r="J343">
        <f t="shared" ca="1" si="38"/>
        <v>19.5906432748538</v>
      </c>
      <c r="K343">
        <f t="shared" ca="1" si="39"/>
        <v>17.251461988304094</v>
      </c>
      <c r="L343">
        <f t="shared" ca="1" si="40"/>
        <v>16.959064327485379</v>
      </c>
      <c r="M343">
        <f t="shared" ca="1" si="41"/>
        <v>18.71345029239766</v>
      </c>
      <c r="N343">
        <f t="shared" ca="1" si="42"/>
        <v>14.327485380116958</v>
      </c>
    </row>
    <row r="344" spans="1:14" x14ac:dyDescent="0.3">
      <c r="A344">
        <f t="shared" ca="1" si="36"/>
        <v>6</v>
      </c>
      <c r="C344">
        <f ca="1">COUNTIF(A$2:A344,1)</f>
        <v>45</v>
      </c>
      <c r="D344">
        <f ca="1">COUNTIF($A$2:$A344,2)</f>
        <v>67</v>
      </c>
      <c r="E344">
        <f ca="1">COUNTIF($A$2:$A344,3)</f>
        <v>59</v>
      </c>
      <c r="F344">
        <f ca="1">COUNTIF($A$2:$A344,4)</f>
        <v>58</v>
      </c>
      <c r="G344">
        <f ca="1">COUNTIF($A$2:$A344,5)</f>
        <v>64</v>
      </c>
      <c r="H344">
        <f ca="1">COUNTIF($A$2:$A344,6)</f>
        <v>50</v>
      </c>
      <c r="I344">
        <f t="shared" ca="1" si="37"/>
        <v>13.119533527696792</v>
      </c>
      <c r="J344">
        <f t="shared" ca="1" si="38"/>
        <v>19.533527696793001</v>
      </c>
      <c r="K344">
        <f t="shared" ca="1" si="39"/>
        <v>17.201166180758019</v>
      </c>
      <c r="L344">
        <f t="shared" ca="1" si="40"/>
        <v>16.909620991253643</v>
      </c>
      <c r="M344">
        <f t="shared" ca="1" si="41"/>
        <v>18.658892128279884</v>
      </c>
      <c r="N344">
        <f t="shared" ca="1" si="42"/>
        <v>14.577259475218659</v>
      </c>
    </row>
    <row r="345" spans="1:14" x14ac:dyDescent="0.3">
      <c r="A345">
        <f t="shared" ca="1" si="36"/>
        <v>5</v>
      </c>
      <c r="C345">
        <f ca="1">COUNTIF(A$2:A345,1)</f>
        <v>45</v>
      </c>
      <c r="D345">
        <f ca="1">COUNTIF($A$2:$A345,2)</f>
        <v>67</v>
      </c>
      <c r="E345">
        <f ca="1">COUNTIF($A$2:$A345,3)</f>
        <v>59</v>
      </c>
      <c r="F345">
        <f ca="1">COUNTIF($A$2:$A345,4)</f>
        <v>58</v>
      </c>
      <c r="G345">
        <f ca="1">COUNTIF($A$2:$A345,5)</f>
        <v>65</v>
      </c>
      <c r="H345">
        <f ca="1">COUNTIF($A$2:$A345,6)</f>
        <v>50</v>
      </c>
      <c r="I345">
        <f t="shared" ca="1" si="37"/>
        <v>13.08139534883721</v>
      </c>
      <c r="J345">
        <f t="shared" ca="1" si="38"/>
        <v>19.476744186046513</v>
      </c>
      <c r="K345">
        <f t="shared" ca="1" si="39"/>
        <v>17.151162790697676</v>
      </c>
      <c r="L345">
        <f t="shared" ca="1" si="40"/>
        <v>16.86046511627907</v>
      </c>
      <c r="M345">
        <f t="shared" ca="1" si="41"/>
        <v>18.895348837209301</v>
      </c>
      <c r="N345">
        <f t="shared" ca="1" si="42"/>
        <v>14.534883720930234</v>
      </c>
    </row>
    <row r="346" spans="1:14" x14ac:dyDescent="0.3">
      <c r="A346">
        <f t="shared" ca="1" si="36"/>
        <v>6</v>
      </c>
      <c r="C346">
        <f ca="1">COUNTIF(A$2:A346,1)</f>
        <v>45</v>
      </c>
      <c r="D346">
        <f ca="1">COUNTIF($A$2:$A346,2)</f>
        <v>67</v>
      </c>
      <c r="E346">
        <f ca="1">COUNTIF($A$2:$A346,3)</f>
        <v>59</v>
      </c>
      <c r="F346">
        <f ca="1">COUNTIF($A$2:$A346,4)</f>
        <v>58</v>
      </c>
      <c r="G346">
        <f ca="1">COUNTIF($A$2:$A346,5)</f>
        <v>65</v>
      </c>
      <c r="H346">
        <f ca="1">COUNTIF($A$2:$A346,6)</f>
        <v>51</v>
      </c>
      <c r="I346">
        <f t="shared" ca="1" si="37"/>
        <v>13.043478260869565</v>
      </c>
      <c r="J346">
        <f t="shared" ca="1" si="38"/>
        <v>19.420289855072465</v>
      </c>
      <c r="K346">
        <f t="shared" ca="1" si="39"/>
        <v>17.101449275362317</v>
      </c>
      <c r="L346">
        <f t="shared" ca="1" si="40"/>
        <v>16.811594202898551</v>
      </c>
      <c r="M346">
        <f t="shared" ca="1" si="41"/>
        <v>18.840579710144929</v>
      </c>
      <c r="N346">
        <f t="shared" ca="1" si="42"/>
        <v>14.782608695652174</v>
      </c>
    </row>
    <row r="347" spans="1:14" x14ac:dyDescent="0.3">
      <c r="A347">
        <f t="shared" ca="1" si="36"/>
        <v>4</v>
      </c>
      <c r="C347">
        <f ca="1">COUNTIF(A$2:A347,1)</f>
        <v>45</v>
      </c>
      <c r="D347">
        <f ca="1">COUNTIF($A$2:$A347,2)</f>
        <v>67</v>
      </c>
      <c r="E347">
        <f ca="1">COUNTIF($A$2:$A347,3)</f>
        <v>59</v>
      </c>
      <c r="F347">
        <f ca="1">COUNTIF($A$2:$A347,4)</f>
        <v>59</v>
      </c>
      <c r="G347">
        <f ca="1">COUNTIF($A$2:$A347,5)</f>
        <v>65</v>
      </c>
      <c r="H347">
        <f ca="1">COUNTIF($A$2:$A347,6)</f>
        <v>51</v>
      </c>
      <c r="I347">
        <f t="shared" ca="1" si="37"/>
        <v>13.005780346820808</v>
      </c>
      <c r="J347">
        <f t="shared" ca="1" si="38"/>
        <v>19.364161849710982</v>
      </c>
      <c r="K347">
        <f t="shared" ca="1" si="39"/>
        <v>17.052023121387283</v>
      </c>
      <c r="L347">
        <f t="shared" ca="1" si="40"/>
        <v>17.052023121387283</v>
      </c>
      <c r="M347">
        <f t="shared" ca="1" si="41"/>
        <v>18.786127167630056</v>
      </c>
      <c r="N347">
        <f t="shared" ca="1" si="42"/>
        <v>14.739884393063585</v>
      </c>
    </row>
    <row r="348" spans="1:14" x14ac:dyDescent="0.3">
      <c r="A348">
        <f t="shared" ca="1" si="36"/>
        <v>6</v>
      </c>
      <c r="C348">
        <f ca="1">COUNTIF(A$2:A348,1)</f>
        <v>45</v>
      </c>
      <c r="D348">
        <f ca="1">COUNTIF($A$2:$A348,2)</f>
        <v>67</v>
      </c>
      <c r="E348">
        <f ca="1">COUNTIF($A$2:$A348,3)</f>
        <v>59</v>
      </c>
      <c r="F348">
        <f ca="1">COUNTIF($A$2:$A348,4)</f>
        <v>59</v>
      </c>
      <c r="G348">
        <f ca="1">COUNTIF($A$2:$A348,5)</f>
        <v>65</v>
      </c>
      <c r="H348">
        <f ca="1">COUNTIF($A$2:$A348,6)</f>
        <v>52</v>
      </c>
      <c r="I348">
        <f t="shared" ca="1" si="37"/>
        <v>12.968299711815561</v>
      </c>
      <c r="J348">
        <f t="shared" ca="1" si="38"/>
        <v>19.308357348703169</v>
      </c>
      <c r="K348">
        <f t="shared" ca="1" si="39"/>
        <v>17.002881844380404</v>
      </c>
      <c r="L348">
        <f t="shared" ca="1" si="40"/>
        <v>17.002881844380404</v>
      </c>
      <c r="M348">
        <f t="shared" ca="1" si="41"/>
        <v>18.731988472622479</v>
      </c>
      <c r="N348">
        <f t="shared" ca="1" si="42"/>
        <v>14.985590778097983</v>
      </c>
    </row>
    <row r="349" spans="1:14" x14ac:dyDescent="0.3">
      <c r="A349">
        <f t="shared" ca="1" si="36"/>
        <v>1</v>
      </c>
      <c r="C349">
        <f ca="1">COUNTIF(A$2:A349,1)</f>
        <v>46</v>
      </c>
      <c r="D349">
        <f ca="1">COUNTIF($A$2:$A349,2)</f>
        <v>67</v>
      </c>
      <c r="E349">
        <f ca="1">COUNTIF($A$2:$A349,3)</f>
        <v>59</v>
      </c>
      <c r="F349">
        <f ca="1">COUNTIF($A$2:$A349,4)</f>
        <v>59</v>
      </c>
      <c r="G349">
        <f ca="1">COUNTIF($A$2:$A349,5)</f>
        <v>65</v>
      </c>
      <c r="H349">
        <f ca="1">COUNTIF($A$2:$A349,6)</f>
        <v>52</v>
      </c>
      <c r="I349">
        <f t="shared" ca="1" si="37"/>
        <v>13.218390804597702</v>
      </c>
      <c r="J349">
        <f t="shared" ca="1" si="38"/>
        <v>19.25287356321839</v>
      </c>
      <c r="K349">
        <f t="shared" ca="1" si="39"/>
        <v>16.954022988505745</v>
      </c>
      <c r="L349">
        <f t="shared" ca="1" si="40"/>
        <v>16.954022988505745</v>
      </c>
      <c r="M349">
        <f t="shared" ca="1" si="41"/>
        <v>18.678160919540229</v>
      </c>
      <c r="N349">
        <f t="shared" ca="1" si="42"/>
        <v>14.942528735632186</v>
      </c>
    </row>
    <row r="350" spans="1:14" x14ac:dyDescent="0.3">
      <c r="A350">
        <f t="shared" ca="1" si="36"/>
        <v>5</v>
      </c>
      <c r="C350">
        <f ca="1">COUNTIF(A$2:A350,1)</f>
        <v>46</v>
      </c>
      <c r="D350">
        <f ca="1">COUNTIF($A$2:$A350,2)</f>
        <v>67</v>
      </c>
      <c r="E350">
        <f ca="1">COUNTIF($A$2:$A350,3)</f>
        <v>59</v>
      </c>
      <c r="F350">
        <f ca="1">COUNTIF($A$2:$A350,4)</f>
        <v>59</v>
      </c>
      <c r="G350">
        <f ca="1">COUNTIF($A$2:$A350,5)</f>
        <v>66</v>
      </c>
      <c r="H350">
        <f ca="1">COUNTIF($A$2:$A350,6)</f>
        <v>52</v>
      </c>
      <c r="I350">
        <f t="shared" ca="1" si="37"/>
        <v>13.180515759312319</v>
      </c>
      <c r="J350">
        <f t="shared" ca="1" si="38"/>
        <v>19.197707736389685</v>
      </c>
      <c r="K350">
        <f t="shared" ca="1" si="39"/>
        <v>16.905444126074499</v>
      </c>
      <c r="L350">
        <f t="shared" ca="1" si="40"/>
        <v>16.905444126074499</v>
      </c>
      <c r="M350">
        <f t="shared" ca="1" si="41"/>
        <v>18.911174785100286</v>
      </c>
      <c r="N350">
        <f t="shared" ca="1" si="42"/>
        <v>14.899713467048711</v>
      </c>
    </row>
    <row r="351" spans="1:14" x14ac:dyDescent="0.3">
      <c r="A351">
        <f t="shared" ca="1" si="36"/>
        <v>5</v>
      </c>
      <c r="C351">
        <f ca="1">COUNTIF(A$2:A351,1)</f>
        <v>46</v>
      </c>
      <c r="D351">
        <f ca="1">COUNTIF($A$2:$A351,2)</f>
        <v>67</v>
      </c>
      <c r="E351">
        <f ca="1">COUNTIF($A$2:$A351,3)</f>
        <v>59</v>
      </c>
      <c r="F351">
        <f ca="1">COUNTIF($A$2:$A351,4)</f>
        <v>59</v>
      </c>
      <c r="G351">
        <f ca="1">COUNTIF($A$2:$A351,5)</f>
        <v>67</v>
      </c>
      <c r="H351">
        <f ca="1">COUNTIF($A$2:$A351,6)</f>
        <v>52</v>
      </c>
      <c r="I351">
        <f t="shared" ca="1" si="37"/>
        <v>13.142857142857142</v>
      </c>
      <c r="J351">
        <f t="shared" ca="1" si="38"/>
        <v>19.142857142857142</v>
      </c>
      <c r="K351">
        <f t="shared" ca="1" si="39"/>
        <v>16.857142857142858</v>
      </c>
      <c r="L351">
        <f t="shared" ca="1" si="40"/>
        <v>16.857142857142858</v>
      </c>
      <c r="M351">
        <f t="shared" ca="1" si="41"/>
        <v>19.142857142857142</v>
      </c>
      <c r="N351">
        <f t="shared" ca="1" si="42"/>
        <v>14.857142857142858</v>
      </c>
    </row>
    <row r="352" spans="1:14" x14ac:dyDescent="0.3">
      <c r="A352">
        <f t="shared" ca="1" si="36"/>
        <v>1</v>
      </c>
      <c r="C352">
        <f ca="1">COUNTIF(A$2:A352,1)</f>
        <v>47</v>
      </c>
      <c r="D352">
        <f ca="1">COUNTIF($A$2:$A352,2)</f>
        <v>67</v>
      </c>
      <c r="E352">
        <f ca="1">COUNTIF($A$2:$A352,3)</f>
        <v>59</v>
      </c>
      <c r="F352">
        <f ca="1">COUNTIF($A$2:$A352,4)</f>
        <v>59</v>
      </c>
      <c r="G352">
        <f ca="1">COUNTIF($A$2:$A352,5)</f>
        <v>67</v>
      </c>
      <c r="H352">
        <f ca="1">COUNTIF($A$2:$A352,6)</f>
        <v>52</v>
      </c>
      <c r="I352">
        <f t="shared" ca="1" si="37"/>
        <v>13.390313390313391</v>
      </c>
      <c r="J352">
        <f t="shared" ca="1" si="38"/>
        <v>19.088319088319089</v>
      </c>
      <c r="K352">
        <f t="shared" ca="1" si="39"/>
        <v>16.809116809116809</v>
      </c>
      <c r="L352">
        <f t="shared" ca="1" si="40"/>
        <v>16.809116809116809</v>
      </c>
      <c r="M352">
        <f t="shared" ca="1" si="41"/>
        <v>19.088319088319089</v>
      </c>
      <c r="N352">
        <f t="shared" ca="1" si="42"/>
        <v>14.814814814814813</v>
      </c>
    </row>
    <row r="353" spans="1:14" x14ac:dyDescent="0.3">
      <c r="A353">
        <f t="shared" ca="1" si="36"/>
        <v>1</v>
      </c>
      <c r="C353">
        <f ca="1">COUNTIF(A$2:A353,1)</f>
        <v>48</v>
      </c>
      <c r="D353">
        <f ca="1">COUNTIF($A$2:$A353,2)</f>
        <v>67</v>
      </c>
      <c r="E353">
        <f ca="1">COUNTIF($A$2:$A353,3)</f>
        <v>59</v>
      </c>
      <c r="F353">
        <f ca="1">COUNTIF($A$2:$A353,4)</f>
        <v>59</v>
      </c>
      <c r="G353">
        <f ca="1">COUNTIF($A$2:$A353,5)</f>
        <v>67</v>
      </c>
      <c r="H353">
        <f ca="1">COUNTIF($A$2:$A353,6)</f>
        <v>52</v>
      </c>
      <c r="I353">
        <f t="shared" ca="1" si="37"/>
        <v>13.636363636363635</v>
      </c>
      <c r="J353">
        <f t="shared" ca="1" si="38"/>
        <v>19.03409090909091</v>
      </c>
      <c r="K353">
        <f t="shared" ca="1" si="39"/>
        <v>16.761363636363637</v>
      </c>
      <c r="L353">
        <f t="shared" ca="1" si="40"/>
        <v>16.761363636363637</v>
      </c>
      <c r="M353">
        <f t="shared" ca="1" si="41"/>
        <v>19.03409090909091</v>
      </c>
      <c r="N353">
        <f t="shared" ca="1" si="42"/>
        <v>14.772727272727273</v>
      </c>
    </row>
    <row r="354" spans="1:14" x14ac:dyDescent="0.3">
      <c r="A354">
        <f t="shared" ca="1" si="36"/>
        <v>5</v>
      </c>
      <c r="C354">
        <f ca="1">COUNTIF(A$2:A354,1)</f>
        <v>48</v>
      </c>
      <c r="D354">
        <f ca="1">COUNTIF($A$2:$A354,2)</f>
        <v>67</v>
      </c>
      <c r="E354">
        <f ca="1">COUNTIF($A$2:$A354,3)</f>
        <v>59</v>
      </c>
      <c r="F354">
        <f ca="1">COUNTIF($A$2:$A354,4)</f>
        <v>59</v>
      </c>
      <c r="G354">
        <f ca="1">COUNTIF($A$2:$A354,5)</f>
        <v>68</v>
      </c>
      <c r="H354">
        <f ca="1">COUNTIF($A$2:$A354,6)</f>
        <v>52</v>
      </c>
      <c r="I354">
        <f t="shared" ca="1" si="37"/>
        <v>13.597733711048161</v>
      </c>
      <c r="J354">
        <f t="shared" ca="1" si="38"/>
        <v>18.980169971671387</v>
      </c>
      <c r="K354">
        <f t="shared" ca="1" si="39"/>
        <v>16.71388101983003</v>
      </c>
      <c r="L354">
        <f t="shared" ca="1" si="40"/>
        <v>16.71388101983003</v>
      </c>
      <c r="M354">
        <f t="shared" ca="1" si="41"/>
        <v>19.263456090651555</v>
      </c>
      <c r="N354">
        <f t="shared" ca="1" si="42"/>
        <v>14.730878186968837</v>
      </c>
    </row>
    <row r="355" spans="1:14" x14ac:dyDescent="0.3">
      <c r="A355">
        <f t="shared" ca="1" si="36"/>
        <v>1</v>
      </c>
      <c r="C355">
        <f ca="1">COUNTIF(A$2:A355,1)</f>
        <v>49</v>
      </c>
      <c r="D355">
        <f ca="1">COUNTIF($A$2:$A355,2)</f>
        <v>67</v>
      </c>
      <c r="E355">
        <f ca="1">COUNTIF($A$2:$A355,3)</f>
        <v>59</v>
      </c>
      <c r="F355">
        <f ca="1">COUNTIF($A$2:$A355,4)</f>
        <v>59</v>
      </c>
      <c r="G355">
        <f ca="1">COUNTIF($A$2:$A355,5)</f>
        <v>68</v>
      </c>
      <c r="H355">
        <f ca="1">COUNTIF($A$2:$A355,6)</f>
        <v>52</v>
      </c>
      <c r="I355">
        <f t="shared" ca="1" si="37"/>
        <v>13.841807909604519</v>
      </c>
      <c r="J355">
        <f t="shared" ca="1" si="38"/>
        <v>18.926553672316384</v>
      </c>
      <c r="K355">
        <f t="shared" ca="1" si="39"/>
        <v>16.666666666666664</v>
      </c>
      <c r="L355">
        <f t="shared" ca="1" si="40"/>
        <v>16.666666666666664</v>
      </c>
      <c r="M355">
        <f t="shared" ca="1" si="41"/>
        <v>19.209039548022599</v>
      </c>
      <c r="N355">
        <f t="shared" ca="1" si="42"/>
        <v>14.689265536723164</v>
      </c>
    </row>
    <row r="356" spans="1:14" x14ac:dyDescent="0.3">
      <c r="A356">
        <f t="shared" ca="1" si="36"/>
        <v>2</v>
      </c>
      <c r="C356">
        <f ca="1">COUNTIF(A$2:A356,1)</f>
        <v>49</v>
      </c>
      <c r="D356">
        <f ca="1">COUNTIF($A$2:$A356,2)</f>
        <v>68</v>
      </c>
      <c r="E356">
        <f ca="1">COUNTIF($A$2:$A356,3)</f>
        <v>59</v>
      </c>
      <c r="F356">
        <f ca="1">COUNTIF($A$2:$A356,4)</f>
        <v>59</v>
      </c>
      <c r="G356">
        <f ca="1">COUNTIF($A$2:$A356,5)</f>
        <v>68</v>
      </c>
      <c r="H356">
        <f ca="1">COUNTIF($A$2:$A356,6)</f>
        <v>52</v>
      </c>
      <c r="I356">
        <f t="shared" ca="1" si="37"/>
        <v>13.802816901408452</v>
      </c>
      <c r="J356">
        <f t="shared" ca="1" si="38"/>
        <v>19.154929577464788</v>
      </c>
      <c r="K356">
        <f t="shared" ca="1" si="39"/>
        <v>16.619718309859156</v>
      </c>
      <c r="L356">
        <f t="shared" ca="1" si="40"/>
        <v>16.619718309859156</v>
      </c>
      <c r="M356">
        <f t="shared" ca="1" si="41"/>
        <v>19.154929577464788</v>
      </c>
      <c r="N356">
        <f t="shared" ca="1" si="42"/>
        <v>14.647887323943662</v>
      </c>
    </row>
    <row r="357" spans="1:14" x14ac:dyDescent="0.3">
      <c r="A357">
        <f t="shared" ca="1" si="36"/>
        <v>1</v>
      </c>
      <c r="C357">
        <f ca="1">COUNTIF(A$2:A357,1)</f>
        <v>50</v>
      </c>
      <c r="D357">
        <f ca="1">COUNTIF($A$2:$A357,2)</f>
        <v>68</v>
      </c>
      <c r="E357">
        <f ca="1">COUNTIF($A$2:$A357,3)</f>
        <v>59</v>
      </c>
      <c r="F357">
        <f ca="1">COUNTIF($A$2:$A357,4)</f>
        <v>59</v>
      </c>
      <c r="G357">
        <f ca="1">COUNTIF($A$2:$A357,5)</f>
        <v>68</v>
      </c>
      <c r="H357">
        <f ca="1">COUNTIF($A$2:$A357,6)</f>
        <v>52</v>
      </c>
      <c r="I357">
        <f t="shared" ca="1" si="37"/>
        <v>14.04494382022472</v>
      </c>
      <c r="J357">
        <f t="shared" ca="1" si="38"/>
        <v>19.101123595505616</v>
      </c>
      <c r="K357">
        <f t="shared" ca="1" si="39"/>
        <v>16.573033707865168</v>
      </c>
      <c r="L357">
        <f t="shared" ca="1" si="40"/>
        <v>16.573033707865168</v>
      </c>
      <c r="M357">
        <f t="shared" ca="1" si="41"/>
        <v>19.101123595505616</v>
      </c>
      <c r="N357">
        <f t="shared" ca="1" si="42"/>
        <v>14.606741573033707</v>
      </c>
    </row>
    <row r="358" spans="1:14" x14ac:dyDescent="0.3">
      <c r="A358">
        <f t="shared" ca="1" si="36"/>
        <v>6</v>
      </c>
      <c r="C358">
        <f ca="1">COUNTIF(A$2:A358,1)</f>
        <v>50</v>
      </c>
      <c r="D358">
        <f ca="1">COUNTIF($A$2:$A358,2)</f>
        <v>68</v>
      </c>
      <c r="E358">
        <f ca="1">COUNTIF($A$2:$A358,3)</f>
        <v>59</v>
      </c>
      <c r="F358">
        <f ca="1">COUNTIF($A$2:$A358,4)</f>
        <v>59</v>
      </c>
      <c r="G358">
        <f ca="1">COUNTIF($A$2:$A358,5)</f>
        <v>68</v>
      </c>
      <c r="H358">
        <f ca="1">COUNTIF($A$2:$A358,6)</f>
        <v>53</v>
      </c>
      <c r="I358">
        <f t="shared" ca="1" si="37"/>
        <v>14.005602240896359</v>
      </c>
      <c r="J358">
        <f t="shared" ca="1" si="38"/>
        <v>19.047619047619047</v>
      </c>
      <c r="K358">
        <f t="shared" ca="1" si="39"/>
        <v>16.526610644257701</v>
      </c>
      <c r="L358">
        <f t="shared" ca="1" si="40"/>
        <v>16.526610644257701</v>
      </c>
      <c r="M358">
        <f t="shared" ca="1" si="41"/>
        <v>19.047619047619047</v>
      </c>
      <c r="N358">
        <f t="shared" ca="1" si="42"/>
        <v>14.845938375350141</v>
      </c>
    </row>
    <row r="359" spans="1:14" x14ac:dyDescent="0.3">
      <c r="A359">
        <f t="shared" ca="1" si="36"/>
        <v>3</v>
      </c>
      <c r="C359">
        <f ca="1">COUNTIF(A$2:A359,1)</f>
        <v>50</v>
      </c>
      <c r="D359">
        <f ca="1">COUNTIF($A$2:$A359,2)</f>
        <v>68</v>
      </c>
      <c r="E359">
        <f ca="1">COUNTIF($A$2:$A359,3)</f>
        <v>60</v>
      </c>
      <c r="F359">
        <f ca="1">COUNTIF($A$2:$A359,4)</f>
        <v>59</v>
      </c>
      <c r="G359">
        <f ca="1">COUNTIF($A$2:$A359,5)</f>
        <v>68</v>
      </c>
      <c r="H359">
        <f ca="1">COUNTIF($A$2:$A359,6)</f>
        <v>53</v>
      </c>
      <c r="I359">
        <f t="shared" ca="1" si="37"/>
        <v>13.966480446927374</v>
      </c>
      <c r="J359">
        <f t="shared" ca="1" si="38"/>
        <v>18.994413407821227</v>
      </c>
      <c r="K359">
        <f t="shared" ca="1" si="39"/>
        <v>16.759776536312849</v>
      </c>
      <c r="L359">
        <f t="shared" ca="1" si="40"/>
        <v>16.480446927374302</v>
      </c>
      <c r="M359">
        <f t="shared" ca="1" si="41"/>
        <v>18.994413407821227</v>
      </c>
      <c r="N359">
        <f t="shared" ca="1" si="42"/>
        <v>14.804469273743019</v>
      </c>
    </row>
    <row r="360" spans="1:14" x14ac:dyDescent="0.3">
      <c r="A360">
        <f t="shared" ca="1" si="36"/>
        <v>5</v>
      </c>
      <c r="C360">
        <f ca="1">COUNTIF(A$2:A360,1)</f>
        <v>50</v>
      </c>
      <c r="D360">
        <f ca="1">COUNTIF($A$2:$A360,2)</f>
        <v>68</v>
      </c>
      <c r="E360">
        <f ca="1">COUNTIF($A$2:$A360,3)</f>
        <v>60</v>
      </c>
      <c r="F360">
        <f ca="1">COUNTIF($A$2:$A360,4)</f>
        <v>59</v>
      </c>
      <c r="G360">
        <f ca="1">COUNTIF($A$2:$A360,5)</f>
        <v>69</v>
      </c>
      <c r="H360">
        <f ca="1">COUNTIF($A$2:$A360,6)</f>
        <v>53</v>
      </c>
      <c r="I360">
        <f t="shared" ca="1" si="37"/>
        <v>13.92757660167131</v>
      </c>
      <c r="J360">
        <f t="shared" ca="1" si="38"/>
        <v>18.941504178272979</v>
      </c>
      <c r="K360">
        <f t="shared" ca="1" si="39"/>
        <v>16.713091922005571</v>
      </c>
      <c r="L360">
        <f t="shared" ca="1" si="40"/>
        <v>16.434540389972145</v>
      </c>
      <c r="M360">
        <f t="shared" ca="1" si="41"/>
        <v>19.220055710306408</v>
      </c>
      <c r="N360">
        <f t="shared" ca="1" si="42"/>
        <v>14.763231197771587</v>
      </c>
    </row>
    <row r="361" spans="1:14" x14ac:dyDescent="0.3">
      <c r="A361">
        <f t="shared" ca="1" si="36"/>
        <v>4</v>
      </c>
      <c r="C361">
        <f ca="1">COUNTIF(A$2:A361,1)</f>
        <v>50</v>
      </c>
      <c r="D361">
        <f ca="1">COUNTIF($A$2:$A361,2)</f>
        <v>68</v>
      </c>
      <c r="E361">
        <f ca="1">COUNTIF($A$2:$A361,3)</f>
        <v>60</v>
      </c>
      <c r="F361">
        <f ca="1">COUNTIF($A$2:$A361,4)</f>
        <v>60</v>
      </c>
      <c r="G361">
        <f ca="1">COUNTIF($A$2:$A361,5)</f>
        <v>69</v>
      </c>
      <c r="H361">
        <f ca="1">COUNTIF($A$2:$A361,6)</f>
        <v>53</v>
      </c>
      <c r="I361">
        <f t="shared" ca="1" si="37"/>
        <v>13.888888888888889</v>
      </c>
      <c r="J361">
        <f t="shared" ca="1" si="38"/>
        <v>18.888888888888889</v>
      </c>
      <c r="K361">
        <f t="shared" ca="1" si="39"/>
        <v>16.666666666666664</v>
      </c>
      <c r="L361">
        <f t="shared" ca="1" si="40"/>
        <v>16.666666666666664</v>
      </c>
      <c r="M361">
        <f t="shared" ca="1" si="41"/>
        <v>19.166666666666668</v>
      </c>
      <c r="N361">
        <f t="shared" ca="1" si="42"/>
        <v>14.722222222222223</v>
      </c>
    </row>
    <row r="362" spans="1:14" x14ac:dyDescent="0.3">
      <c r="A362">
        <f t="shared" ca="1" si="36"/>
        <v>5</v>
      </c>
      <c r="C362">
        <f ca="1">COUNTIF(A$2:A362,1)</f>
        <v>50</v>
      </c>
      <c r="D362">
        <f ca="1">COUNTIF($A$2:$A362,2)</f>
        <v>68</v>
      </c>
      <c r="E362">
        <f ca="1">COUNTIF($A$2:$A362,3)</f>
        <v>60</v>
      </c>
      <c r="F362">
        <f ca="1">COUNTIF($A$2:$A362,4)</f>
        <v>60</v>
      </c>
      <c r="G362">
        <f ca="1">COUNTIF($A$2:$A362,5)</f>
        <v>70</v>
      </c>
      <c r="H362">
        <f ca="1">COUNTIF($A$2:$A362,6)</f>
        <v>53</v>
      </c>
      <c r="I362">
        <f t="shared" ca="1" si="37"/>
        <v>13.850415512465375</v>
      </c>
      <c r="J362">
        <f t="shared" ca="1" si="38"/>
        <v>18.83656509695291</v>
      </c>
      <c r="K362">
        <f t="shared" ca="1" si="39"/>
        <v>16.62049861495845</v>
      </c>
      <c r="L362">
        <f t="shared" ca="1" si="40"/>
        <v>16.62049861495845</v>
      </c>
      <c r="M362">
        <f t="shared" ca="1" si="41"/>
        <v>19.390581717451525</v>
      </c>
      <c r="N362">
        <f t="shared" ca="1" si="42"/>
        <v>14.681440443213297</v>
      </c>
    </row>
    <row r="363" spans="1:14" x14ac:dyDescent="0.3">
      <c r="A363">
        <f t="shared" ca="1" si="36"/>
        <v>3</v>
      </c>
      <c r="C363">
        <f ca="1">COUNTIF(A$2:A363,1)</f>
        <v>50</v>
      </c>
      <c r="D363">
        <f ca="1">COUNTIF($A$2:$A363,2)</f>
        <v>68</v>
      </c>
      <c r="E363">
        <f ca="1">COUNTIF($A$2:$A363,3)</f>
        <v>61</v>
      </c>
      <c r="F363">
        <f ca="1">COUNTIF($A$2:$A363,4)</f>
        <v>60</v>
      </c>
      <c r="G363">
        <f ca="1">COUNTIF($A$2:$A363,5)</f>
        <v>70</v>
      </c>
      <c r="H363">
        <f ca="1">COUNTIF($A$2:$A363,6)</f>
        <v>53</v>
      </c>
      <c r="I363">
        <f t="shared" ca="1" si="37"/>
        <v>13.812154696132598</v>
      </c>
      <c r="J363">
        <f t="shared" ca="1" si="38"/>
        <v>18.784530386740332</v>
      </c>
      <c r="K363">
        <f t="shared" ca="1" si="39"/>
        <v>16.850828729281769</v>
      </c>
      <c r="L363">
        <f t="shared" ca="1" si="40"/>
        <v>16.574585635359114</v>
      </c>
      <c r="M363">
        <f t="shared" ca="1" si="41"/>
        <v>19.337016574585636</v>
      </c>
      <c r="N363">
        <f t="shared" ca="1" si="42"/>
        <v>14.64088397790055</v>
      </c>
    </row>
    <row r="364" spans="1:14" x14ac:dyDescent="0.3">
      <c r="A364">
        <f t="shared" ca="1" si="36"/>
        <v>6</v>
      </c>
      <c r="C364">
        <f ca="1">COUNTIF(A$2:A364,1)</f>
        <v>50</v>
      </c>
      <c r="D364">
        <f ca="1">COUNTIF($A$2:$A364,2)</f>
        <v>68</v>
      </c>
      <c r="E364">
        <f ca="1">COUNTIF($A$2:$A364,3)</f>
        <v>61</v>
      </c>
      <c r="F364">
        <f ca="1">COUNTIF($A$2:$A364,4)</f>
        <v>60</v>
      </c>
      <c r="G364">
        <f ca="1">COUNTIF($A$2:$A364,5)</f>
        <v>70</v>
      </c>
      <c r="H364">
        <f ca="1">COUNTIF($A$2:$A364,6)</f>
        <v>54</v>
      </c>
      <c r="I364">
        <f t="shared" ca="1" si="37"/>
        <v>13.774104683195592</v>
      </c>
      <c r="J364">
        <f t="shared" ca="1" si="38"/>
        <v>18.732782369146005</v>
      </c>
      <c r="K364">
        <f t="shared" ca="1" si="39"/>
        <v>16.804407713498623</v>
      </c>
      <c r="L364">
        <f t="shared" ca="1" si="40"/>
        <v>16.528925619834713</v>
      </c>
      <c r="M364">
        <f t="shared" ca="1" si="41"/>
        <v>19.28374655647383</v>
      </c>
      <c r="N364">
        <f t="shared" ca="1" si="42"/>
        <v>14.87603305785124</v>
      </c>
    </row>
    <row r="365" spans="1:14" x14ac:dyDescent="0.3">
      <c r="A365">
        <f t="shared" ca="1" si="36"/>
        <v>1</v>
      </c>
      <c r="C365">
        <f ca="1">COUNTIF(A$2:A365,1)</f>
        <v>51</v>
      </c>
      <c r="D365">
        <f ca="1">COUNTIF($A$2:$A365,2)</f>
        <v>68</v>
      </c>
      <c r="E365">
        <f ca="1">COUNTIF($A$2:$A365,3)</f>
        <v>61</v>
      </c>
      <c r="F365">
        <f ca="1">COUNTIF($A$2:$A365,4)</f>
        <v>60</v>
      </c>
      <c r="G365">
        <f ca="1">COUNTIF($A$2:$A365,5)</f>
        <v>70</v>
      </c>
      <c r="H365">
        <f ca="1">COUNTIF($A$2:$A365,6)</f>
        <v>54</v>
      </c>
      <c r="I365">
        <f t="shared" ca="1" si="37"/>
        <v>14.010989010989011</v>
      </c>
      <c r="J365">
        <f t="shared" ca="1" si="38"/>
        <v>18.681318681318682</v>
      </c>
      <c r="K365">
        <f t="shared" ca="1" si="39"/>
        <v>16.758241758241756</v>
      </c>
      <c r="L365">
        <f t="shared" ca="1" si="40"/>
        <v>16.483516483516482</v>
      </c>
      <c r="M365">
        <f t="shared" ca="1" si="41"/>
        <v>19.230769230769234</v>
      </c>
      <c r="N365">
        <f t="shared" ca="1" si="42"/>
        <v>14.835164835164836</v>
      </c>
    </row>
    <row r="366" spans="1:14" x14ac:dyDescent="0.3">
      <c r="A366">
        <f t="shared" ca="1" si="36"/>
        <v>1</v>
      </c>
      <c r="C366">
        <f ca="1">COUNTIF(A$2:A366,1)</f>
        <v>52</v>
      </c>
      <c r="D366">
        <f ca="1">COUNTIF($A$2:$A366,2)</f>
        <v>68</v>
      </c>
      <c r="E366">
        <f ca="1">COUNTIF($A$2:$A366,3)</f>
        <v>61</v>
      </c>
      <c r="F366">
        <f ca="1">COUNTIF($A$2:$A366,4)</f>
        <v>60</v>
      </c>
      <c r="G366">
        <f ca="1">COUNTIF($A$2:$A366,5)</f>
        <v>70</v>
      </c>
      <c r="H366">
        <f ca="1">COUNTIF($A$2:$A366,6)</f>
        <v>54</v>
      </c>
      <c r="I366">
        <f t="shared" ca="1" si="37"/>
        <v>14.246575342465754</v>
      </c>
      <c r="J366">
        <f t="shared" ca="1" si="38"/>
        <v>18.63013698630137</v>
      </c>
      <c r="K366">
        <f t="shared" ca="1" si="39"/>
        <v>16.712328767123289</v>
      </c>
      <c r="L366">
        <f t="shared" ca="1" si="40"/>
        <v>16.43835616438356</v>
      </c>
      <c r="M366">
        <f t="shared" ca="1" si="41"/>
        <v>19.17808219178082</v>
      </c>
      <c r="N366">
        <f t="shared" ca="1" si="42"/>
        <v>14.794520547945206</v>
      </c>
    </row>
    <row r="367" spans="1:14" x14ac:dyDescent="0.3">
      <c r="A367">
        <f t="shared" ca="1" si="36"/>
        <v>1</v>
      </c>
      <c r="C367">
        <f ca="1">COUNTIF(A$2:A367,1)</f>
        <v>53</v>
      </c>
      <c r="D367">
        <f ca="1">COUNTIF($A$2:$A367,2)</f>
        <v>68</v>
      </c>
      <c r="E367">
        <f ca="1">COUNTIF($A$2:$A367,3)</f>
        <v>61</v>
      </c>
      <c r="F367">
        <f ca="1">COUNTIF($A$2:$A367,4)</f>
        <v>60</v>
      </c>
      <c r="G367">
        <f ca="1">COUNTIF($A$2:$A367,5)</f>
        <v>70</v>
      </c>
      <c r="H367">
        <f ca="1">COUNTIF($A$2:$A367,6)</f>
        <v>54</v>
      </c>
      <c r="I367">
        <f t="shared" ca="1" si="37"/>
        <v>14.480874316939889</v>
      </c>
      <c r="J367">
        <f t="shared" ca="1" si="38"/>
        <v>18.579234972677597</v>
      </c>
      <c r="K367">
        <f t="shared" ca="1" si="39"/>
        <v>16.666666666666664</v>
      </c>
      <c r="L367">
        <f t="shared" ca="1" si="40"/>
        <v>16.393442622950818</v>
      </c>
      <c r="M367">
        <f t="shared" ca="1" si="41"/>
        <v>19.125683060109289</v>
      </c>
      <c r="N367">
        <f t="shared" ca="1" si="42"/>
        <v>14.754098360655737</v>
      </c>
    </row>
    <row r="368" spans="1:14" x14ac:dyDescent="0.3">
      <c r="A368">
        <f t="shared" ca="1" si="36"/>
        <v>1</v>
      </c>
      <c r="C368">
        <f ca="1">COUNTIF(A$2:A368,1)</f>
        <v>54</v>
      </c>
      <c r="D368">
        <f ca="1">COUNTIF($A$2:$A368,2)</f>
        <v>68</v>
      </c>
      <c r="E368">
        <f ca="1">COUNTIF($A$2:$A368,3)</f>
        <v>61</v>
      </c>
      <c r="F368">
        <f ca="1">COUNTIF($A$2:$A368,4)</f>
        <v>60</v>
      </c>
      <c r="G368">
        <f ca="1">COUNTIF($A$2:$A368,5)</f>
        <v>70</v>
      </c>
      <c r="H368">
        <f ca="1">COUNTIF($A$2:$A368,6)</f>
        <v>54</v>
      </c>
      <c r="I368">
        <f t="shared" ca="1" si="37"/>
        <v>14.713896457765669</v>
      </c>
      <c r="J368">
        <f t="shared" ca="1" si="38"/>
        <v>18.528610354223432</v>
      </c>
      <c r="K368">
        <f t="shared" ca="1" si="39"/>
        <v>16.621253405994551</v>
      </c>
      <c r="L368">
        <f t="shared" ca="1" si="40"/>
        <v>16.348773841961854</v>
      </c>
      <c r="M368">
        <f t="shared" ca="1" si="41"/>
        <v>19.073569482288828</v>
      </c>
      <c r="N368">
        <f t="shared" ca="1" si="42"/>
        <v>14.713896457765669</v>
      </c>
    </row>
    <row r="369" spans="1:14" x14ac:dyDescent="0.3">
      <c r="A369">
        <f t="shared" ca="1" si="36"/>
        <v>3</v>
      </c>
      <c r="C369">
        <f ca="1">COUNTIF(A$2:A369,1)</f>
        <v>54</v>
      </c>
      <c r="D369">
        <f ca="1">COUNTIF($A$2:$A369,2)</f>
        <v>68</v>
      </c>
      <c r="E369">
        <f ca="1">COUNTIF($A$2:$A369,3)</f>
        <v>62</v>
      </c>
      <c r="F369">
        <f ca="1">COUNTIF($A$2:$A369,4)</f>
        <v>60</v>
      </c>
      <c r="G369">
        <f ca="1">COUNTIF($A$2:$A369,5)</f>
        <v>70</v>
      </c>
      <c r="H369">
        <f ca="1">COUNTIF($A$2:$A369,6)</f>
        <v>54</v>
      </c>
      <c r="I369">
        <f t="shared" ca="1" si="37"/>
        <v>14.673913043478262</v>
      </c>
      <c r="J369">
        <f t="shared" ca="1" si="38"/>
        <v>18.478260869565215</v>
      </c>
      <c r="K369">
        <f t="shared" ca="1" si="39"/>
        <v>16.847826086956523</v>
      </c>
      <c r="L369">
        <f t="shared" ca="1" si="40"/>
        <v>16.304347826086957</v>
      </c>
      <c r="M369">
        <f t="shared" ca="1" si="41"/>
        <v>19.021739130434785</v>
      </c>
      <c r="N369">
        <f t="shared" ca="1" si="42"/>
        <v>14.673913043478262</v>
      </c>
    </row>
    <row r="370" spans="1:14" x14ac:dyDescent="0.3">
      <c r="A370">
        <f t="shared" ca="1" si="36"/>
        <v>4</v>
      </c>
      <c r="C370">
        <f ca="1">COUNTIF(A$2:A370,1)</f>
        <v>54</v>
      </c>
      <c r="D370">
        <f ca="1">COUNTIF($A$2:$A370,2)</f>
        <v>68</v>
      </c>
      <c r="E370">
        <f ca="1">COUNTIF($A$2:$A370,3)</f>
        <v>62</v>
      </c>
      <c r="F370">
        <f ca="1">COUNTIF($A$2:$A370,4)</f>
        <v>61</v>
      </c>
      <c r="G370">
        <f ca="1">COUNTIF($A$2:$A370,5)</f>
        <v>70</v>
      </c>
      <c r="H370">
        <f ca="1">COUNTIF($A$2:$A370,6)</f>
        <v>54</v>
      </c>
      <c r="I370">
        <f t="shared" ca="1" si="37"/>
        <v>14.634146341463413</v>
      </c>
      <c r="J370">
        <f t="shared" ca="1" si="38"/>
        <v>18.428184281842817</v>
      </c>
      <c r="K370">
        <f t="shared" ca="1" si="39"/>
        <v>16.802168021680217</v>
      </c>
      <c r="L370">
        <f t="shared" ca="1" si="40"/>
        <v>16.531165311653119</v>
      </c>
      <c r="M370">
        <f t="shared" ca="1" si="41"/>
        <v>18.97018970189702</v>
      </c>
      <c r="N370">
        <f t="shared" ca="1" si="42"/>
        <v>14.634146341463413</v>
      </c>
    </row>
    <row r="371" spans="1:14" x14ac:dyDescent="0.3">
      <c r="A371">
        <f t="shared" ca="1" si="36"/>
        <v>4</v>
      </c>
      <c r="C371">
        <f ca="1">COUNTIF(A$2:A371,1)</f>
        <v>54</v>
      </c>
      <c r="D371">
        <f ca="1">COUNTIF($A$2:$A371,2)</f>
        <v>68</v>
      </c>
      <c r="E371">
        <f ca="1">COUNTIF($A$2:$A371,3)</f>
        <v>62</v>
      </c>
      <c r="F371">
        <f ca="1">COUNTIF($A$2:$A371,4)</f>
        <v>62</v>
      </c>
      <c r="G371">
        <f ca="1">COUNTIF($A$2:$A371,5)</f>
        <v>70</v>
      </c>
      <c r="H371">
        <f ca="1">COUNTIF($A$2:$A371,6)</f>
        <v>54</v>
      </c>
      <c r="I371">
        <f t="shared" ca="1" si="37"/>
        <v>14.594594594594595</v>
      </c>
      <c r="J371">
        <f t="shared" ca="1" si="38"/>
        <v>18.378378378378379</v>
      </c>
      <c r="K371">
        <f t="shared" ca="1" si="39"/>
        <v>16.756756756756758</v>
      </c>
      <c r="L371">
        <f t="shared" ca="1" si="40"/>
        <v>16.756756756756758</v>
      </c>
      <c r="M371">
        <f t="shared" ca="1" si="41"/>
        <v>18.918918918918919</v>
      </c>
      <c r="N371">
        <f t="shared" ca="1" si="42"/>
        <v>14.594594594594595</v>
      </c>
    </row>
    <row r="372" spans="1:14" x14ac:dyDescent="0.3">
      <c r="A372">
        <f t="shared" ca="1" si="36"/>
        <v>2</v>
      </c>
      <c r="C372">
        <f ca="1">COUNTIF(A$2:A372,1)</f>
        <v>54</v>
      </c>
      <c r="D372">
        <f ca="1">COUNTIF($A$2:$A372,2)</f>
        <v>69</v>
      </c>
      <c r="E372">
        <f ca="1">COUNTIF($A$2:$A372,3)</f>
        <v>62</v>
      </c>
      <c r="F372">
        <f ca="1">COUNTIF($A$2:$A372,4)</f>
        <v>62</v>
      </c>
      <c r="G372">
        <f ca="1">COUNTIF($A$2:$A372,5)</f>
        <v>70</v>
      </c>
      <c r="H372">
        <f ca="1">COUNTIF($A$2:$A372,6)</f>
        <v>54</v>
      </c>
      <c r="I372">
        <f t="shared" ca="1" si="37"/>
        <v>14.555256064690028</v>
      </c>
      <c r="J372">
        <f t="shared" ca="1" si="38"/>
        <v>18.598382749326145</v>
      </c>
      <c r="K372">
        <f t="shared" ca="1" si="39"/>
        <v>16.711590296495956</v>
      </c>
      <c r="L372">
        <f t="shared" ca="1" si="40"/>
        <v>16.711590296495956</v>
      </c>
      <c r="M372">
        <f t="shared" ca="1" si="41"/>
        <v>18.867924528301888</v>
      </c>
      <c r="N372">
        <f t="shared" ca="1" si="42"/>
        <v>14.555256064690028</v>
      </c>
    </row>
    <row r="373" spans="1:14" x14ac:dyDescent="0.3">
      <c r="A373">
        <f t="shared" ca="1" si="36"/>
        <v>6</v>
      </c>
      <c r="C373">
        <f ca="1">COUNTIF(A$2:A373,1)</f>
        <v>54</v>
      </c>
      <c r="D373">
        <f ca="1">COUNTIF($A$2:$A373,2)</f>
        <v>69</v>
      </c>
      <c r="E373">
        <f ca="1">COUNTIF($A$2:$A373,3)</f>
        <v>62</v>
      </c>
      <c r="F373">
        <f ca="1">COUNTIF($A$2:$A373,4)</f>
        <v>62</v>
      </c>
      <c r="G373">
        <f ca="1">COUNTIF($A$2:$A373,5)</f>
        <v>70</v>
      </c>
      <c r="H373">
        <f ca="1">COUNTIF($A$2:$A373,6)</f>
        <v>55</v>
      </c>
      <c r="I373">
        <f t="shared" ca="1" si="37"/>
        <v>14.516129032258066</v>
      </c>
      <c r="J373">
        <f t="shared" ca="1" si="38"/>
        <v>18.548387096774192</v>
      </c>
      <c r="K373">
        <f t="shared" ca="1" si="39"/>
        <v>16.666666666666664</v>
      </c>
      <c r="L373">
        <f t="shared" ca="1" si="40"/>
        <v>16.666666666666664</v>
      </c>
      <c r="M373">
        <f t="shared" ca="1" si="41"/>
        <v>18.817204301075268</v>
      </c>
      <c r="N373">
        <f t="shared" ca="1" si="42"/>
        <v>14.78494623655914</v>
      </c>
    </row>
    <row r="374" spans="1:14" x14ac:dyDescent="0.3">
      <c r="A374">
        <f t="shared" ca="1" si="36"/>
        <v>5</v>
      </c>
      <c r="C374">
        <f ca="1">COUNTIF(A$2:A374,1)</f>
        <v>54</v>
      </c>
      <c r="D374">
        <f ca="1">COUNTIF($A$2:$A374,2)</f>
        <v>69</v>
      </c>
      <c r="E374">
        <f ca="1">COUNTIF($A$2:$A374,3)</f>
        <v>62</v>
      </c>
      <c r="F374">
        <f ca="1">COUNTIF($A$2:$A374,4)</f>
        <v>62</v>
      </c>
      <c r="G374">
        <f ca="1">COUNTIF($A$2:$A374,5)</f>
        <v>71</v>
      </c>
      <c r="H374">
        <f ca="1">COUNTIF($A$2:$A374,6)</f>
        <v>55</v>
      </c>
      <c r="I374">
        <f t="shared" ca="1" si="37"/>
        <v>14.47721179624665</v>
      </c>
      <c r="J374">
        <f t="shared" ca="1" si="38"/>
        <v>18.498659517426276</v>
      </c>
      <c r="K374">
        <f t="shared" ca="1" si="39"/>
        <v>16.621983914209114</v>
      </c>
      <c r="L374">
        <f t="shared" ca="1" si="40"/>
        <v>16.621983914209114</v>
      </c>
      <c r="M374">
        <f t="shared" ca="1" si="41"/>
        <v>19.034852546916888</v>
      </c>
      <c r="N374">
        <f t="shared" ca="1" si="42"/>
        <v>14.745308310991955</v>
      </c>
    </row>
    <row r="375" spans="1:14" x14ac:dyDescent="0.3">
      <c r="A375">
        <f t="shared" ca="1" si="36"/>
        <v>4</v>
      </c>
      <c r="C375">
        <f ca="1">COUNTIF(A$2:A375,1)</f>
        <v>54</v>
      </c>
      <c r="D375">
        <f ca="1">COUNTIF($A$2:$A375,2)</f>
        <v>69</v>
      </c>
      <c r="E375">
        <f ca="1">COUNTIF($A$2:$A375,3)</f>
        <v>62</v>
      </c>
      <c r="F375">
        <f ca="1">COUNTIF($A$2:$A375,4)</f>
        <v>63</v>
      </c>
      <c r="G375">
        <f ca="1">COUNTIF($A$2:$A375,5)</f>
        <v>71</v>
      </c>
      <c r="H375">
        <f ca="1">COUNTIF($A$2:$A375,6)</f>
        <v>55</v>
      </c>
      <c r="I375">
        <f t="shared" ca="1" si="37"/>
        <v>14.438502673796791</v>
      </c>
      <c r="J375">
        <f t="shared" ca="1" si="38"/>
        <v>18.449197860962567</v>
      </c>
      <c r="K375">
        <f t="shared" ca="1" si="39"/>
        <v>16.577540106951872</v>
      </c>
      <c r="L375">
        <f t="shared" ca="1" si="40"/>
        <v>16.844919786096256</v>
      </c>
      <c r="M375">
        <f t="shared" ca="1" si="41"/>
        <v>18.983957219251337</v>
      </c>
      <c r="N375">
        <f t="shared" ca="1" si="42"/>
        <v>14.705882352941178</v>
      </c>
    </row>
    <row r="376" spans="1:14" x14ac:dyDescent="0.3">
      <c r="A376">
        <f t="shared" ca="1" si="36"/>
        <v>1</v>
      </c>
      <c r="C376">
        <f ca="1">COUNTIF(A$2:A376,1)</f>
        <v>55</v>
      </c>
      <c r="D376">
        <f ca="1">COUNTIF($A$2:$A376,2)</f>
        <v>69</v>
      </c>
      <c r="E376">
        <f ca="1">COUNTIF($A$2:$A376,3)</f>
        <v>62</v>
      </c>
      <c r="F376">
        <f ca="1">COUNTIF($A$2:$A376,4)</f>
        <v>63</v>
      </c>
      <c r="G376">
        <f ca="1">COUNTIF($A$2:$A376,5)</f>
        <v>71</v>
      </c>
      <c r="H376">
        <f ca="1">COUNTIF($A$2:$A376,6)</f>
        <v>55</v>
      </c>
      <c r="I376">
        <f t="shared" ca="1" si="37"/>
        <v>14.666666666666666</v>
      </c>
      <c r="J376">
        <f t="shared" ca="1" si="38"/>
        <v>18.399999999999999</v>
      </c>
      <c r="K376">
        <f t="shared" ca="1" si="39"/>
        <v>16.533333333333331</v>
      </c>
      <c r="L376">
        <f t="shared" ca="1" si="40"/>
        <v>16.8</v>
      </c>
      <c r="M376">
        <f t="shared" ca="1" si="41"/>
        <v>18.933333333333334</v>
      </c>
      <c r="N376">
        <f t="shared" ca="1" si="42"/>
        <v>14.666666666666666</v>
      </c>
    </row>
    <row r="377" spans="1:14" x14ac:dyDescent="0.3">
      <c r="A377">
        <f t="shared" ca="1" si="36"/>
        <v>5</v>
      </c>
      <c r="C377">
        <f ca="1">COUNTIF(A$2:A377,1)</f>
        <v>55</v>
      </c>
      <c r="D377">
        <f ca="1">COUNTIF($A$2:$A377,2)</f>
        <v>69</v>
      </c>
      <c r="E377">
        <f ca="1">COUNTIF($A$2:$A377,3)</f>
        <v>62</v>
      </c>
      <c r="F377">
        <f ca="1">COUNTIF($A$2:$A377,4)</f>
        <v>63</v>
      </c>
      <c r="G377">
        <f ca="1">COUNTIF($A$2:$A377,5)</f>
        <v>72</v>
      </c>
      <c r="H377">
        <f ca="1">COUNTIF($A$2:$A377,6)</f>
        <v>55</v>
      </c>
      <c r="I377">
        <f t="shared" ca="1" si="37"/>
        <v>14.627659574468085</v>
      </c>
      <c r="J377">
        <f t="shared" ca="1" si="38"/>
        <v>18.351063829787233</v>
      </c>
      <c r="K377">
        <f t="shared" ca="1" si="39"/>
        <v>16.48936170212766</v>
      </c>
      <c r="L377">
        <f t="shared" ca="1" si="40"/>
        <v>16.75531914893617</v>
      </c>
      <c r="M377">
        <f t="shared" ca="1" si="41"/>
        <v>19.148936170212767</v>
      </c>
      <c r="N377">
        <f t="shared" ca="1" si="42"/>
        <v>14.627659574468085</v>
      </c>
    </row>
    <row r="378" spans="1:14" x14ac:dyDescent="0.3">
      <c r="A378">
        <f t="shared" ca="1" si="36"/>
        <v>6</v>
      </c>
      <c r="C378">
        <f ca="1">COUNTIF(A$2:A378,1)</f>
        <v>55</v>
      </c>
      <c r="D378">
        <f ca="1">COUNTIF($A$2:$A378,2)</f>
        <v>69</v>
      </c>
      <c r="E378">
        <f ca="1">COUNTIF($A$2:$A378,3)</f>
        <v>62</v>
      </c>
      <c r="F378">
        <f ca="1">COUNTIF($A$2:$A378,4)</f>
        <v>63</v>
      </c>
      <c r="G378">
        <f ca="1">COUNTIF($A$2:$A378,5)</f>
        <v>72</v>
      </c>
      <c r="H378">
        <f ca="1">COUNTIF($A$2:$A378,6)</f>
        <v>56</v>
      </c>
      <c r="I378">
        <f t="shared" ca="1" si="37"/>
        <v>14.588859416445624</v>
      </c>
      <c r="J378">
        <f t="shared" ca="1" si="38"/>
        <v>18.302387267904511</v>
      </c>
      <c r="K378">
        <f t="shared" ca="1" si="39"/>
        <v>16.445623342175068</v>
      </c>
      <c r="L378">
        <f t="shared" ca="1" si="40"/>
        <v>16.710875331564985</v>
      </c>
      <c r="M378">
        <f t="shared" ca="1" si="41"/>
        <v>19.098143236074268</v>
      </c>
      <c r="N378">
        <f t="shared" ca="1" si="42"/>
        <v>14.854111405835543</v>
      </c>
    </row>
    <row r="379" spans="1:14" x14ac:dyDescent="0.3">
      <c r="A379">
        <f t="shared" ca="1" si="36"/>
        <v>3</v>
      </c>
      <c r="C379">
        <f ca="1">COUNTIF(A$2:A379,1)</f>
        <v>55</v>
      </c>
      <c r="D379">
        <f ca="1">COUNTIF($A$2:$A379,2)</f>
        <v>69</v>
      </c>
      <c r="E379">
        <f ca="1">COUNTIF($A$2:$A379,3)</f>
        <v>63</v>
      </c>
      <c r="F379">
        <f ca="1">COUNTIF($A$2:$A379,4)</f>
        <v>63</v>
      </c>
      <c r="G379">
        <f ca="1">COUNTIF($A$2:$A379,5)</f>
        <v>72</v>
      </c>
      <c r="H379">
        <f ca="1">COUNTIF($A$2:$A379,6)</f>
        <v>56</v>
      </c>
      <c r="I379">
        <f t="shared" ca="1" si="37"/>
        <v>14.550264550264549</v>
      </c>
      <c r="J379">
        <f t="shared" ca="1" si="38"/>
        <v>18.253968253968253</v>
      </c>
      <c r="K379">
        <f t="shared" ca="1" si="39"/>
        <v>16.666666666666664</v>
      </c>
      <c r="L379">
        <f t="shared" ca="1" si="40"/>
        <v>16.666666666666664</v>
      </c>
      <c r="M379">
        <f t="shared" ca="1" si="41"/>
        <v>19.047619047619047</v>
      </c>
      <c r="N379">
        <f t="shared" ca="1" si="42"/>
        <v>14.814814814814813</v>
      </c>
    </row>
    <row r="380" spans="1:14" x14ac:dyDescent="0.3">
      <c r="A380">
        <f t="shared" ca="1" si="36"/>
        <v>5</v>
      </c>
      <c r="C380">
        <f ca="1">COUNTIF(A$2:A380,1)</f>
        <v>55</v>
      </c>
      <c r="D380">
        <f ca="1">COUNTIF($A$2:$A380,2)</f>
        <v>69</v>
      </c>
      <c r="E380">
        <f ca="1">COUNTIF($A$2:$A380,3)</f>
        <v>63</v>
      </c>
      <c r="F380">
        <f ca="1">COUNTIF($A$2:$A380,4)</f>
        <v>63</v>
      </c>
      <c r="G380">
        <f ca="1">COUNTIF($A$2:$A380,5)</f>
        <v>73</v>
      </c>
      <c r="H380">
        <f ca="1">COUNTIF($A$2:$A380,6)</f>
        <v>56</v>
      </c>
      <c r="I380">
        <f t="shared" ca="1" si="37"/>
        <v>14.511873350923482</v>
      </c>
      <c r="J380">
        <f t="shared" ca="1" si="38"/>
        <v>18.20580474934037</v>
      </c>
      <c r="K380">
        <f t="shared" ca="1" si="39"/>
        <v>16.622691292875992</v>
      </c>
      <c r="L380">
        <f t="shared" ca="1" si="40"/>
        <v>16.622691292875992</v>
      </c>
      <c r="M380">
        <f t="shared" ca="1" si="41"/>
        <v>19.261213720316622</v>
      </c>
      <c r="N380">
        <f t="shared" ca="1" si="42"/>
        <v>14.775725593667547</v>
      </c>
    </row>
    <row r="381" spans="1:14" x14ac:dyDescent="0.3">
      <c r="A381">
        <f t="shared" ca="1" si="36"/>
        <v>4</v>
      </c>
      <c r="C381">
        <f ca="1">COUNTIF(A$2:A381,1)</f>
        <v>55</v>
      </c>
      <c r="D381">
        <f ca="1">COUNTIF($A$2:$A381,2)</f>
        <v>69</v>
      </c>
      <c r="E381">
        <f ca="1">COUNTIF($A$2:$A381,3)</f>
        <v>63</v>
      </c>
      <c r="F381">
        <f ca="1">COUNTIF($A$2:$A381,4)</f>
        <v>64</v>
      </c>
      <c r="G381">
        <f ca="1">COUNTIF($A$2:$A381,5)</f>
        <v>73</v>
      </c>
      <c r="H381">
        <f ca="1">COUNTIF($A$2:$A381,6)</f>
        <v>56</v>
      </c>
      <c r="I381">
        <f t="shared" ca="1" si="37"/>
        <v>14.473684210526317</v>
      </c>
      <c r="J381">
        <f t="shared" ca="1" si="38"/>
        <v>18.157894736842106</v>
      </c>
      <c r="K381">
        <f t="shared" ca="1" si="39"/>
        <v>16.578947368421051</v>
      </c>
      <c r="L381">
        <f t="shared" ca="1" si="40"/>
        <v>16.842105263157894</v>
      </c>
      <c r="M381">
        <f t="shared" ca="1" si="41"/>
        <v>19.210526315789473</v>
      </c>
      <c r="N381">
        <f t="shared" ca="1" si="42"/>
        <v>14.736842105263156</v>
      </c>
    </row>
    <row r="382" spans="1:14" x14ac:dyDescent="0.3">
      <c r="A382">
        <f t="shared" ca="1" si="36"/>
        <v>5</v>
      </c>
      <c r="C382">
        <f ca="1">COUNTIF(A$2:A382,1)</f>
        <v>55</v>
      </c>
      <c r="D382">
        <f ca="1">COUNTIF($A$2:$A382,2)</f>
        <v>69</v>
      </c>
      <c r="E382">
        <f ca="1">COUNTIF($A$2:$A382,3)</f>
        <v>63</v>
      </c>
      <c r="F382">
        <f ca="1">COUNTIF($A$2:$A382,4)</f>
        <v>64</v>
      </c>
      <c r="G382">
        <f ca="1">COUNTIF($A$2:$A382,5)</f>
        <v>74</v>
      </c>
      <c r="H382">
        <f ca="1">COUNTIF($A$2:$A382,6)</f>
        <v>56</v>
      </c>
      <c r="I382">
        <f t="shared" ca="1" si="37"/>
        <v>14.435695538057743</v>
      </c>
      <c r="J382">
        <f t="shared" ca="1" si="38"/>
        <v>18.110236220472441</v>
      </c>
      <c r="K382">
        <f t="shared" ca="1" si="39"/>
        <v>16.535433070866144</v>
      </c>
      <c r="L382">
        <f t="shared" ca="1" si="40"/>
        <v>16.797900262467191</v>
      </c>
      <c r="M382">
        <f t="shared" ca="1" si="41"/>
        <v>19.42257217847769</v>
      </c>
      <c r="N382">
        <f t="shared" ca="1" si="42"/>
        <v>14.698162729658792</v>
      </c>
    </row>
    <row r="383" spans="1:14" x14ac:dyDescent="0.3">
      <c r="A383">
        <f t="shared" ca="1" si="36"/>
        <v>6</v>
      </c>
      <c r="C383">
        <f ca="1">COUNTIF(A$2:A383,1)</f>
        <v>55</v>
      </c>
      <c r="D383">
        <f ca="1">COUNTIF($A$2:$A383,2)</f>
        <v>69</v>
      </c>
      <c r="E383">
        <f ca="1">COUNTIF($A$2:$A383,3)</f>
        <v>63</v>
      </c>
      <c r="F383">
        <f ca="1">COUNTIF($A$2:$A383,4)</f>
        <v>64</v>
      </c>
      <c r="G383">
        <f ca="1">COUNTIF($A$2:$A383,5)</f>
        <v>74</v>
      </c>
      <c r="H383">
        <f ca="1">COUNTIF($A$2:$A383,6)</f>
        <v>57</v>
      </c>
      <c r="I383">
        <f t="shared" ca="1" si="37"/>
        <v>14.397905759162304</v>
      </c>
      <c r="J383">
        <f t="shared" ca="1" si="38"/>
        <v>18.062827225130889</v>
      </c>
      <c r="K383">
        <f t="shared" ca="1" si="39"/>
        <v>16.492146596858639</v>
      </c>
      <c r="L383">
        <f t="shared" ca="1" si="40"/>
        <v>16.753926701570681</v>
      </c>
      <c r="M383">
        <f t="shared" ca="1" si="41"/>
        <v>19.3717277486911</v>
      </c>
      <c r="N383">
        <f t="shared" ca="1" si="42"/>
        <v>14.921465968586386</v>
      </c>
    </row>
    <row r="384" spans="1:14" x14ac:dyDescent="0.3">
      <c r="A384">
        <f t="shared" ca="1" si="36"/>
        <v>2</v>
      </c>
      <c r="C384">
        <f ca="1">COUNTIF(A$2:A384,1)</f>
        <v>55</v>
      </c>
      <c r="D384">
        <f ca="1">COUNTIF($A$2:$A384,2)</f>
        <v>70</v>
      </c>
      <c r="E384">
        <f ca="1">COUNTIF($A$2:$A384,3)</f>
        <v>63</v>
      </c>
      <c r="F384">
        <f ca="1">COUNTIF($A$2:$A384,4)</f>
        <v>64</v>
      </c>
      <c r="G384">
        <f ca="1">COUNTIF($A$2:$A384,5)</f>
        <v>74</v>
      </c>
      <c r="H384">
        <f ca="1">COUNTIF($A$2:$A384,6)</f>
        <v>57</v>
      </c>
      <c r="I384">
        <f t="shared" ca="1" si="37"/>
        <v>14.360313315926893</v>
      </c>
      <c r="J384">
        <f t="shared" ca="1" si="38"/>
        <v>18.276762402088771</v>
      </c>
      <c r="K384">
        <f t="shared" ca="1" si="39"/>
        <v>16.449086161879894</v>
      </c>
      <c r="L384">
        <f t="shared" ca="1" si="40"/>
        <v>16.710182767624023</v>
      </c>
      <c r="M384">
        <f t="shared" ca="1" si="41"/>
        <v>19.321148825065272</v>
      </c>
      <c r="N384">
        <f t="shared" ca="1" si="42"/>
        <v>14.882506527415144</v>
      </c>
    </row>
    <row r="385" spans="1:14" x14ac:dyDescent="0.3">
      <c r="A385">
        <f t="shared" ca="1" si="36"/>
        <v>4</v>
      </c>
      <c r="C385">
        <f ca="1">COUNTIF(A$2:A385,1)</f>
        <v>55</v>
      </c>
      <c r="D385">
        <f ca="1">COUNTIF($A$2:$A385,2)</f>
        <v>70</v>
      </c>
      <c r="E385">
        <f ca="1">COUNTIF($A$2:$A385,3)</f>
        <v>63</v>
      </c>
      <c r="F385">
        <f ca="1">COUNTIF($A$2:$A385,4)</f>
        <v>65</v>
      </c>
      <c r="G385">
        <f ca="1">COUNTIF($A$2:$A385,5)</f>
        <v>74</v>
      </c>
      <c r="H385">
        <f ca="1">COUNTIF($A$2:$A385,6)</f>
        <v>57</v>
      </c>
      <c r="I385">
        <f t="shared" ca="1" si="37"/>
        <v>14.322916666666666</v>
      </c>
      <c r="J385">
        <f t="shared" ca="1" si="38"/>
        <v>18.229166666666664</v>
      </c>
      <c r="K385">
        <f t="shared" ca="1" si="39"/>
        <v>16.40625</v>
      </c>
      <c r="L385">
        <f t="shared" ca="1" si="40"/>
        <v>16.927083333333336</v>
      </c>
      <c r="M385">
        <f t="shared" ca="1" si="41"/>
        <v>19.270833333333336</v>
      </c>
      <c r="N385">
        <f t="shared" ca="1" si="42"/>
        <v>14.84375</v>
      </c>
    </row>
    <row r="386" spans="1:14" x14ac:dyDescent="0.3">
      <c r="A386">
        <f t="shared" ca="1" si="36"/>
        <v>1</v>
      </c>
      <c r="C386">
        <f ca="1">COUNTIF(A$2:A386,1)</f>
        <v>56</v>
      </c>
      <c r="D386">
        <f ca="1">COUNTIF($A$2:$A386,2)</f>
        <v>70</v>
      </c>
      <c r="E386">
        <f ca="1">COUNTIF($A$2:$A386,3)</f>
        <v>63</v>
      </c>
      <c r="F386">
        <f ca="1">COUNTIF($A$2:$A386,4)</f>
        <v>65</v>
      </c>
      <c r="G386">
        <f ca="1">COUNTIF($A$2:$A386,5)</f>
        <v>74</v>
      </c>
      <c r="H386">
        <f ca="1">COUNTIF($A$2:$A386,6)</f>
        <v>57</v>
      </c>
      <c r="I386">
        <f t="shared" ca="1" si="37"/>
        <v>14.545454545454545</v>
      </c>
      <c r="J386">
        <f t="shared" ca="1" si="38"/>
        <v>18.181818181818183</v>
      </c>
      <c r="K386">
        <f t="shared" ca="1" si="39"/>
        <v>16.363636363636363</v>
      </c>
      <c r="L386">
        <f t="shared" ca="1" si="40"/>
        <v>16.883116883116884</v>
      </c>
      <c r="M386">
        <f t="shared" ca="1" si="41"/>
        <v>19.220779220779221</v>
      </c>
      <c r="N386">
        <f t="shared" ca="1" si="42"/>
        <v>14.805194805194805</v>
      </c>
    </row>
    <row r="387" spans="1:14" x14ac:dyDescent="0.3">
      <c r="A387">
        <f t="shared" ref="A387:A450" ca="1" si="43">ROUNDDOWN(RAND()*6+1,0)</f>
        <v>3</v>
      </c>
      <c r="C387">
        <f ca="1">COUNTIF(A$2:A387,1)</f>
        <v>56</v>
      </c>
      <c r="D387">
        <f ca="1">COUNTIF($A$2:$A387,2)</f>
        <v>70</v>
      </c>
      <c r="E387">
        <f ca="1">COUNTIF($A$2:$A387,3)</f>
        <v>64</v>
      </c>
      <c r="F387">
        <f ca="1">COUNTIF($A$2:$A387,4)</f>
        <v>65</v>
      </c>
      <c r="G387">
        <f ca="1">COUNTIF($A$2:$A387,5)</f>
        <v>74</v>
      </c>
      <c r="H387">
        <f ca="1">COUNTIF($A$2:$A387,6)</f>
        <v>57</v>
      </c>
      <c r="I387">
        <f t="shared" ref="I387:I450" ca="1" si="44">C387/(SUM($C387:$H387))*100</f>
        <v>14.507772020725387</v>
      </c>
      <c r="J387">
        <f t="shared" ref="J387:J450" ca="1" si="45">D387/(SUM($C387:$H387))*100</f>
        <v>18.134715025906736</v>
      </c>
      <c r="K387">
        <f t="shared" ref="K387:K450" ca="1" si="46">E387/(SUM($C387:$H387))*100</f>
        <v>16.580310880829018</v>
      </c>
      <c r="L387">
        <f t="shared" ref="L387:L450" ca="1" si="47">F387/(SUM($C387:$H387))*100</f>
        <v>16.839378238341968</v>
      </c>
      <c r="M387">
        <f t="shared" ref="M387:M450" ca="1" si="48">G387/(SUM($C387:$H387))*100</f>
        <v>19.170984455958546</v>
      </c>
      <c r="N387">
        <f t="shared" ref="N387:N450" ca="1" si="49">H387/(SUM($C387:$H387))*100</f>
        <v>14.766839378238341</v>
      </c>
    </row>
    <row r="388" spans="1:14" x14ac:dyDescent="0.3">
      <c r="A388">
        <f t="shared" ca="1" si="43"/>
        <v>6</v>
      </c>
      <c r="C388">
        <f ca="1">COUNTIF(A$2:A388,1)</f>
        <v>56</v>
      </c>
      <c r="D388">
        <f ca="1">COUNTIF($A$2:$A388,2)</f>
        <v>70</v>
      </c>
      <c r="E388">
        <f ca="1">COUNTIF($A$2:$A388,3)</f>
        <v>64</v>
      </c>
      <c r="F388">
        <f ca="1">COUNTIF($A$2:$A388,4)</f>
        <v>65</v>
      </c>
      <c r="G388">
        <f ca="1">COUNTIF($A$2:$A388,5)</f>
        <v>74</v>
      </c>
      <c r="H388">
        <f ca="1">COUNTIF($A$2:$A388,6)</f>
        <v>58</v>
      </c>
      <c r="I388">
        <f t="shared" ca="1" si="44"/>
        <v>14.470284237726098</v>
      </c>
      <c r="J388">
        <f t="shared" ca="1" si="45"/>
        <v>18.087855297157624</v>
      </c>
      <c r="K388">
        <f t="shared" ca="1" si="46"/>
        <v>16.5374677002584</v>
      </c>
      <c r="L388">
        <f t="shared" ca="1" si="47"/>
        <v>16.795865633074936</v>
      </c>
      <c r="M388">
        <f t="shared" ca="1" si="48"/>
        <v>19.12144702842377</v>
      </c>
      <c r="N388">
        <f t="shared" ca="1" si="49"/>
        <v>14.987080103359174</v>
      </c>
    </row>
    <row r="389" spans="1:14" x14ac:dyDescent="0.3">
      <c r="A389">
        <f t="shared" ca="1" si="43"/>
        <v>4</v>
      </c>
      <c r="C389">
        <f ca="1">COUNTIF(A$2:A389,1)</f>
        <v>56</v>
      </c>
      <c r="D389">
        <f ca="1">COUNTIF($A$2:$A389,2)</f>
        <v>70</v>
      </c>
      <c r="E389">
        <f ca="1">COUNTIF($A$2:$A389,3)</f>
        <v>64</v>
      </c>
      <c r="F389">
        <f ca="1">COUNTIF($A$2:$A389,4)</f>
        <v>66</v>
      </c>
      <c r="G389">
        <f ca="1">COUNTIF($A$2:$A389,5)</f>
        <v>74</v>
      </c>
      <c r="H389">
        <f ca="1">COUNTIF($A$2:$A389,6)</f>
        <v>58</v>
      </c>
      <c r="I389">
        <f t="shared" ca="1" si="44"/>
        <v>14.432989690721648</v>
      </c>
      <c r="J389">
        <f t="shared" ca="1" si="45"/>
        <v>18.041237113402062</v>
      </c>
      <c r="K389">
        <f t="shared" ca="1" si="46"/>
        <v>16.494845360824741</v>
      </c>
      <c r="L389">
        <f t="shared" ca="1" si="47"/>
        <v>17.010309278350515</v>
      </c>
      <c r="M389">
        <f t="shared" ca="1" si="48"/>
        <v>19.072164948453608</v>
      </c>
      <c r="N389">
        <f t="shared" ca="1" si="49"/>
        <v>14.948453608247423</v>
      </c>
    </row>
    <row r="390" spans="1:14" x14ac:dyDescent="0.3">
      <c r="A390">
        <f t="shared" ca="1" si="43"/>
        <v>2</v>
      </c>
      <c r="C390">
        <f ca="1">COUNTIF(A$2:A390,1)</f>
        <v>56</v>
      </c>
      <c r="D390">
        <f ca="1">COUNTIF($A$2:$A390,2)</f>
        <v>71</v>
      </c>
      <c r="E390">
        <f ca="1">COUNTIF($A$2:$A390,3)</f>
        <v>64</v>
      </c>
      <c r="F390">
        <f ca="1">COUNTIF($A$2:$A390,4)</f>
        <v>66</v>
      </c>
      <c r="G390">
        <f ca="1">COUNTIF($A$2:$A390,5)</f>
        <v>74</v>
      </c>
      <c r="H390">
        <f ca="1">COUNTIF($A$2:$A390,6)</f>
        <v>58</v>
      </c>
      <c r="I390">
        <f t="shared" ca="1" si="44"/>
        <v>14.395886889460154</v>
      </c>
      <c r="J390">
        <f t="shared" ca="1" si="45"/>
        <v>18.251928020565554</v>
      </c>
      <c r="K390">
        <f t="shared" ca="1" si="46"/>
        <v>16.452442159383033</v>
      </c>
      <c r="L390">
        <f t="shared" ca="1" si="47"/>
        <v>16.966580976863753</v>
      </c>
      <c r="M390">
        <f t="shared" ca="1" si="48"/>
        <v>19.023136246786631</v>
      </c>
      <c r="N390">
        <f t="shared" ca="1" si="49"/>
        <v>14.910025706940875</v>
      </c>
    </row>
    <row r="391" spans="1:14" x14ac:dyDescent="0.3">
      <c r="A391">
        <f t="shared" ca="1" si="43"/>
        <v>3</v>
      </c>
      <c r="C391">
        <f ca="1">COUNTIF(A$2:A391,1)</f>
        <v>56</v>
      </c>
      <c r="D391">
        <f ca="1">COUNTIF($A$2:$A391,2)</f>
        <v>71</v>
      </c>
      <c r="E391">
        <f ca="1">COUNTIF($A$2:$A391,3)</f>
        <v>65</v>
      </c>
      <c r="F391">
        <f ca="1">COUNTIF($A$2:$A391,4)</f>
        <v>66</v>
      </c>
      <c r="G391">
        <f ca="1">COUNTIF($A$2:$A391,5)</f>
        <v>74</v>
      </c>
      <c r="H391">
        <f ca="1">COUNTIF($A$2:$A391,6)</f>
        <v>58</v>
      </c>
      <c r="I391">
        <f t="shared" ca="1" si="44"/>
        <v>14.358974358974358</v>
      </c>
      <c r="J391">
        <f t="shared" ca="1" si="45"/>
        <v>18.205128205128204</v>
      </c>
      <c r="K391">
        <f t="shared" ca="1" si="46"/>
        <v>16.666666666666664</v>
      </c>
      <c r="L391">
        <f t="shared" ca="1" si="47"/>
        <v>16.923076923076923</v>
      </c>
      <c r="M391">
        <f t="shared" ca="1" si="48"/>
        <v>18.974358974358974</v>
      </c>
      <c r="N391">
        <f t="shared" ca="1" si="49"/>
        <v>14.871794871794872</v>
      </c>
    </row>
    <row r="392" spans="1:14" x14ac:dyDescent="0.3">
      <c r="A392">
        <f t="shared" ca="1" si="43"/>
        <v>3</v>
      </c>
      <c r="C392">
        <f ca="1">COUNTIF(A$2:A392,1)</f>
        <v>56</v>
      </c>
      <c r="D392">
        <f ca="1">COUNTIF($A$2:$A392,2)</f>
        <v>71</v>
      </c>
      <c r="E392">
        <f ca="1">COUNTIF($A$2:$A392,3)</f>
        <v>66</v>
      </c>
      <c r="F392">
        <f ca="1">COUNTIF($A$2:$A392,4)</f>
        <v>66</v>
      </c>
      <c r="G392">
        <f ca="1">COUNTIF($A$2:$A392,5)</f>
        <v>74</v>
      </c>
      <c r="H392">
        <f ca="1">COUNTIF($A$2:$A392,6)</f>
        <v>58</v>
      </c>
      <c r="I392">
        <f t="shared" ca="1" si="44"/>
        <v>14.322250639386189</v>
      </c>
      <c r="J392">
        <f t="shared" ca="1" si="45"/>
        <v>18.15856777493606</v>
      </c>
      <c r="K392">
        <f t="shared" ca="1" si="46"/>
        <v>16.879795396419436</v>
      </c>
      <c r="L392">
        <f t="shared" ca="1" si="47"/>
        <v>16.879795396419436</v>
      </c>
      <c r="M392">
        <f t="shared" ca="1" si="48"/>
        <v>18.925831202046037</v>
      </c>
      <c r="N392">
        <f t="shared" ca="1" si="49"/>
        <v>14.833759590792839</v>
      </c>
    </row>
    <row r="393" spans="1:14" x14ac:dyDescent="0.3">
      <c r="A393">
        <f t="shared" ca="1" si="43"/>
        <v>3</v>
      </c>
      <c r="C393">
        <f ca="1">COUNTIF(A$2:A393,1)</f>
        <v>56</v>
      </c>
      <c r="D393">
        <f ca="1">COUNTIF($A$2:$A393,2)</f>
        <v>71</v>
      </c>
      <c r="E393">
        <f ca="1">COUNTIF($A$2:$A393,3)</f>
        <v>67</v>
      </c>
      <c r="F393">
        <f ca="1">COUNTIF($A$2:$A393,4)</f>
        <v>66</v>
      </c>
      <c r="G393">
        <f ca="1">COUNTIF($A$2:$A393,5)</f>
        <v>74</v>
      </c>
      <c r="H393">
        <f ca="1">COUNTIF($A$2:$A393,6)</f>
        <v>58</v>
      </c>
      <c r="I393">
        <f t="shared" ca="1" si="44"/>
        <v>14.285714285714285</v>
      </c>
      <c r="J393">
        <f t="shared" ca="1" si="45"/>
        <v>18.112244897959183</v>
      </c>
      <c r="K393">
        <f t="shared" ca="1" si="46"/>
        <v>17.091836734693878</v>
      </c>
      <c r="L393">
        <f t="shared" ca="1" si="47"/>
        <v>16.836734693877549</v>
      </c>
      <c r="M393">
        <f t="shared" ca="1" si="48"/>
        <v>18.877551020408163</v>
      </c>
      <c r="N393">
        <f t="shared" ca="1" si="49"/>
        <v>14.795918367346939</v>
      </c>
    </row>
    <row r="394" spans="1:14" x14ac:dyDescent="0.3">
      <c r="A394">
        <f t="shared" ca="1" si="43"/>
        <v>3</v>
      </c>
      <c r="C394">
        <f ca="1">COUNTIF(A$2:A394,1)</f>
        <v>56</v>
      </c>
      <c r="D394">
        <f ca="1">COUNTIF($A$2:$A394,2)</f>
        <v>71</v>
      </c>
      <c r="E394">
        <f ca="1">COUNTIF($A$2:$A394,3)</f>
        <v>68</v>
      </c>
      <c r="F394">
        <f ca="1">COUNTIF($A$2:$A394,4)</f>
        <v>66</v>
      </c>
      <c r="G394">
        <f ca="1">COUNTIF($A$2:$A394,5)</f>
        <v>74</v>
      </c>
      <c r="H394">
        <f ca="1">COUNTIF($A$2:$A394,6)</f>
        <v>58</v>
      </c>
      <c r="I394">
        <f t="shared" ca="1" si="44"/>
        <v>14.249363867684478</v>
      </c>
      <c r="J394">
        <f t="shared" ca="1" si="45"/>
        <v>18.066157760814249</v>
      </c>
      <c r="K394">
        <f t="shared" ca="1" si="46"/>
        <v>17.302798982188293</v>
      </c>
      <c r="L394">
        <f t="shared" ca="1" si="47"/>
        <v>16.793893129770993</v>
      </c>
      <c r="M394">
        <f t="shared" ca="1" si="48"/>
        <v>18.829516539440203</v>
      </c>
      <c r="N394">
        <f t="shared" ca="1" si="49"/>
        <v>14.758269720101779</v>
      </c>
    </row>
    <row r="395" spans="1:14" x14ac:dyDescent="0.3">
      <c r="A395">
        <f t="shared" ca="1" si="43"/>
        <v>6</v>
      </c>
      <c r="C395">
        <f ca="1">COUNTIF(A$2:A395,1)</f>
        <v>56</v>
      </c>
      <c r="D395">
        <f ca="1">COUNTIF($A$2:$A395,2)</f>
        <v>71</v>
      </c>
      <c r="E395">
        <f ca="1">COUNTIF($A$2:$A395,3)</f>
        <v>68</v>
      </c>
      <c r="F395">
        <f ca="1">COUNTIF($A$2:$A395,4)</f>
        <v>66</v>
      </c>
      <c r="G395">
        <f ca="1">COUNTIF($A$2:$A395,5)</f>
        <v>74</v>
      </c>
      <c r="H395">
        <f ca="1">COUNTIF($A$2:$A395,6)</f>
        <v>59</v>
      </c>
      <c r="I395">
        <f t="shared" ca="1" si="44"/>
        <v>14.213197969543149</v>
      </c>
      <c r="J395">
        <f t="shared" ca="1" si="45"/>
        <v>18.020304568527919</v>
      </c>
      <c r="K395">
        <f t="shared" ca="1" si="46"/>
        <v>17.258883248730964</v>
      </c>
      <c r="L395">
        <f t="shared" ca="1" si="47"/>
        <v>16.751269035532996</v>
      </c>
      <c r="M395">
        <f t="shared" ca="1" si="48"/>
        <v>18.781725888324875</v>
      </c>
      <c r="N395">
        <f t="shared" ca="1" si="49"/>
        <v>14.974619289340103</v>
      </c>
    </row>
    <row r="396" spans="1:14" x14ac:dyDescent="0.3">
      <c r="A396">
        <f t="shared" ca="1" si="43"/>
        <v>5</v>
      </c>
      <c r="C396">
        <f ca="1">COUNTIF(A$2:A396,1)</f>
        <v>56</v>
      </c>
      <c r="D396">
        <f ca="1">COUNTIF($A$2:$A396,2)</f>
        <v>71</v>
      </c>
      <c r="E396">
        <f ca="1">COUNTIF($A$2:$A396,3)</f>
        <v>68</v>
      </c>
      <c r="F396">
        <f ca="1">COUNTIF($A$2:$A396,4)</f>
        <v>66</v>
      </c>
      <c r="G396">
        <f ca="1">COUNTIF($A$2:$A396,5)</f>
        <v>75</v>
      </c>
      <c r="H396">
        <f ca="1">COUNTIF($A$2:$A396,6)</f>
        <v>59</v>
      </c>
      <c r="I396">
        <f t="shared" ca="1" si="44"/>
        <v>14.177215189873419</v>
      </c>
      <c r="J396">
        <f t="shared" ca="1" si="45"/>
        <v>17.974683544303797</v>
      </c>
      <c r="K396">
        <f t="shared" ca="1" si="46"/>
        <v>17.215189873417721</v>
      </c>
      <c r="L396">
        <f t="shared" ca="1" si="47"/>
        <v>16.708860759493671</v>
      </c>
      <c r="M396">
        <f t="shared" ca="1" si="48"/>
        <v>18.9873417721519</v>
      </c>
      <c r="N396">
        <f t="shared" ca="1" si="49"/>
        <v>14.936708860759493</v>
      </c>
    </row>
    <row r="397" spans="1:14" x14ac:dyDescent="0.3">
      <c r="A397">
        <f t="shared" ca="1" si="43"/>
        <v>4</v>
      </c>
      <c r="C397">
        <f ca="1">COUNTIF(A$2:A397,1)</f>
        <v>56</v>
      </c>
      <c r="D397">
        <f ca="1">COUNTIF($A$2:$A397,2)</f>
        <v>71</v>
      </c>
      <c r="E397">
        <f ca="1">COUNTIF($A$2:$A397,3)</f>
        <v>68</v>
      </c>
      <c r="F397">
        <f ca="1">COUNTIF($A$2:$A397,4)</f>
        <v>67</v>
      </c>
      <c r="G397">
        <f ca="1">COUNTIF($A$2:$A397,5)</f>
        <v>75</v>
      </c>
      <c r="H397">
        <f ca="1">COUNTIF($A$2:$A397,6)</f>
        <v>59</v>
      </c>
      <c r="I397">
        <f t="shared" ca="1" si="44"/>
        <v>14.14141414141414</v>
      </c>
      <c r="J397">
        <f t="shared" ca="1" si="45"/>
        <v>17.929292929292927</v>
      </c>
      <c r="K397">
        <f t="shared" ca="1" si="46"/>
        <v>17.171717171717169</v>
      </c>
      <c r="L397">
        <f t="shared" ca="1" si="47"/>
        <v>16.91919191919192</v>
      </c>
      <c r="M397">
        <f t="shared" ca="1" si="48"/>
        <v>18.939393939393938</v>
      </c>
      <c r="N397">
        <f t="shared" ca="1" si="49"/>
        <v>14.898989898989898</v>
      </c>
    </row>
    <row r="398" spans="1:14" x14ac:dyDescent="0.3">
      <c r="A398">
        <f t="shared" ca="1" si="43"/>
        <v>2</v>
      </c>
      <c r="C398">
        <f ca="1">COUNTIF(A$2:A398,1)</f>
        <v>56</v>
      </c>
      <c r="D398">
        <f ca="1">COUNTIF($A$2:$A398,2)</f>
        <v>72</v>
      </c>
      <c r="E398">
        <f ca="1">COUNTIF($A$2:$A398,3)</f>
        <v>68</v>
      </c>
      <c r="F398">
        <f ca="1">COUNTIF($A$2:$A398,4)</f>
        <v>67</v>
      </c>
      <c r="G398">
        <f ca="1">COUNTIF($A$2:$A398,5)</f>
        <v>75</v>
      </c>
      <c r="H398">
        <f ca="1">COUNTIF($A$2:$A398,6)</f>
        <v>59</v>
      </c>
      <c r="I398">
        <f t="shared" ca="1" si="44"/>
        <v>14.105793450881613</v>
      </c>
      <c r="J398">
        <f t="shared" ca="1" si="45"/>
        <v>18.136020151133501</v>
      </c>
      <c r="K398">
        <f t="shared" ca="1" si="46"/>
        <v>17.128463476070529</v>
      </c>
      <c r="L398">
        <f t="shared" ca="1" si="47"/>
        <v>16.876574307304786</v>
      </c>
      <c r="M398">
        <f t="shared" ca="1" si="48"/>
        <v>18.89168765743073</v>
      </c>
      <c r="N398">
        <f t="shared" ca="1" si="49"/>
        <v>14.86146095717884</v>
      </c>
    </row>
    <row r="399" spans="1:14" x14ac:dyDescent="0.3">
      <c r="A399">
        <f t="shared" ca="1" si="43"/>
        <v>6</v>
      </c>
      <c r="C399">
        <f ca="1">COUNTIF(A$2:A399,1)</f>
        <v>56</v>
      </c>
      <c r="D399">
        <f ca="1">COUNTIF($A$2:$A399,2)</f>
        <v>72</v>
      </c>
      <c r="E399">
        <f ca="1">COUNTIF($A$2:$A399,3)</f>
        <v>68</v>
      </c>
      <c r="F399">
        <f ca="1">COUNTIF($A$2:$A399,4)</f>
        <v>67</v>
      </c>
      <c r="G399">
        <f ca="1">COUNTIF($A$2:$A399,5)</f>
        <v>75</v>
      </c>
      <c r="H399">
        <f ca="1">COUNTIF($A$2:$A399,6)</f>
        <v>60</v>
      </c>
      <c r="I399">
        <f t="shared" ca="1" si="44"/>
        <v>14.07035175879397</v>
      </c>
      <c r="J399">
        <f t="shared" ca="1" si="45"/>
        <v>18.090452261306535</v>
      </c>
      <c r="K399">
        <f t="shared" ca="1" si="46"/>
        <v>17.08542713567839</v>
      </c>
      <c r="L399">
        <f t="shared" ca="1" si="47"/>
        <v>16.834170854271356</v>
      </c>
      <c r="M399">
        <f t="shared" ca="1" si="48"/>
        <v>18.844221105527641</v>
      </c>
      <c r="N399">
        <f t="shared" ca="1" si="49"/>
        <v>15.075376884422109</v>
      </c>
    </row>
    <row r="400" spans="1:14" x14ac:dyDescent="0.3">
      <c r="A400">
        <f t="shared" ca="1" si="43"/>
        <v>2</v>
      </c>
      <c r="C400">
        <f ca="1">COUNTIF(A$2:A400,1)</f>
        <v>56</v>
      </c>
      <c r="D400">
        <f ca="1">COUNTIF($A$2:$A400,2)</f>
        <v>73</v>
      </c>
      <c r="E400">
        <f ca="1">COUNTIF($A$2:$A400,3)</f>
        <v>68</v>
      </c>
      <c r="F400">
        <f ca="1">COUNTIF($A$2:$A400,4)</f>
        <v>67</v>
      </c>
      <c r="G400">
        <f ca="1">COUNTIF($A$2:$A400,5)</f>
        <v>75</v>
      </c>
      <c r="H400">
        <f ca="1">COUNTIF($A$2:$A400,6)</f>
        <v>60</v>
      </c>
      <c r="I400">
        <f t="shared" ca="1" si="44"/>
        <v>14.035087719298245</v>
      </c>
      <c r="J400">
        <f t="shared" ca="1" si="45"/>
        <v>18.295739348370926</v>
      </c>
      <c r="K400">
        <f t="shared" ca="1" si="46"/>
        <v>17.042606516290725</v>
      </c>
      <c r="L400">
        <f t="shared" ca="1" si="47"/>
        <v>16.791979949874687</v>
      </c>
      <c r="M400">
        <f t="shared" ca="1" si="48"/>
        <v>18.796992481203006</v>
      </c>
      <c r="N400">
        <f t="shared" ca="1" si="49"/>
        <v>15.037593984962406</v>
      </c>
    </row>
    <row r="401" spans="1:14" x14ac:dyDescent="0.3">
      <c r="A401">
        <f t="shared" ca="1" si="43"/>
        <v>2</v>
      </c>
      <c r="C401">
        <f ca="1">COUNTIF(A$2:A401,1)</f>
        <v>56</v>
      </c>
      <c r="D401">
        <f ca="1">COUNTIF($A$2:$A401,2)</f>
        <v>74</v>
      </c>
      <c r="E401">
        <f ca="1">COUNTIF($A$2:$A401,3)</f>
        <v>68</v>
      </c>
      <c r="F401">
        <f ca="1">COUNTIF($A$2:$A401,4)</f>
        <v>67</v>
      </c>
      <c r="G401">
        <f ca="1">COUNTIF($A$2:$A401,5)</f>
        <v>75</v>
      </c>
      <c r="H401">
        <f ca="1">COUNTIF($A$2:$A401,6)</f>
        <v>60</v>
      </c>
      <c r="I401">
        <f t="shared" ca="1" si="44"/>
        <v>14.000000000000002</v>
      </c>
      <c r="J401">
        <f t="shared" ca="1" si="45"/>
        <v>18.5</v>
      </c>
      <c r="K401">
        <f t="shared" ca="1" si="46"/>
        <v>17</v>
      </c>
      <c r="L401">
        <f t="shared" ca="1" si="47"/>
        <v>16.75</v>
      </c>
      <c r="M401">
        <f t="shared" ca="1" si="48"/>
        <v>18.75</v>
      </c>
      <c r="N401">
        <f t="shared" ca="1" si="49"/>
        <v>15</v>
      </c>
    </row>
    <row r="402" spans="1:14" x14ac:dyDescent="0.3">
      <c r="A402">
        <f t="shared" ca="1" si="43"/>
        <v>2</v>
      </c>
      <c r="C402">
        <f ca="1">COUNTIF(A$2:A402,1)</f>
        <v>56</v>
      </c>
      <c r="D402">
        <f ca="1">COUNTIF($A$2:$A402,2)</f>
        <v>75</v>
      </c>
      <c r="E402">
        <f ca="1">COUNTIF($A$2:$A402,3)</f>
        <v>68</v>
      </c>
      <c r="F402">
        <f ca="1">COUNTIF($A$2:$A402,4)</f>
        <v>67</v>
      </c>
      <c r="G402">
        <f ca="1">COUNTIF($A$2:$A402,5)</f>
        <v>75</v>
      </c>
      <c r="H402">
        <f ca="1">COUNTIF($A$2:$A402,6)</f>
        <v>60</v>
      </c>
      <c r="I402">
        <f t="shared" ca="1" si="44"/>
        <v>13.96508728179551</v>
      </c>
      <c r="J402">
        <f t="shared" ca="1" si="45"/>
        <v>18.703241895261847</v>
      </c>
      <c r="K402">
        <f t="shared" ca="1" si="46"/>
        <v>16.957605985037407</v>
      </c>
      <c r="L402">
        <f t="shared" ca="1" si="47"/>
        <v>16.708229426433917</v>
      </c>
      <c r="M402">
        <f t="shared" ca="1" si="48"/>
        <v>18.703241895261847</v>
      </c>
      <c r="N402">
        <f t="shared" ca="1" si="49"/>
        <v>14.962593516209477</v>
      </c>
    </row>
    <row r="403" spans="1:14" x14ac:dyDescent="0.3">
      <c r="A403">
        <f t="shared" ca="1" si="43"/>
        <v>1</v>
      </c>
      <c r="C403">
        <f ca="1">COUNTIF(A$2:A403,1)</f>
        <v>57</v>
      </c>
      <c r="D403">
        <f ca="1">COUNTIF($A$2:$A403,2)</f>
        <v>75</v>
      </c>
      <c r="E403">
        <f ca="1">COUNTIF($A$2:$A403,3)</f>
        <v>68</v>
      </c>
      <c r="F403">
        <f ca="1">COUNTIF($A$2:$A403,4)</f>
        <v>67</v>
      </c>
      <c r="G403">
        <f ca="1">COUNTIF($A$2:$A403,5)</f>
        <v>75</v>
      </c>
      <c r="H403">
        <f ca="1">COUNTIF($A$2:$A403,6)</f>
        <v>60</v>
      </c>
      <c r="I403">
        <f t="shared" ca="1" si="44"/>
        <v>14.17910447761194</v>
      </c>
      <c r="J403">
        <f t="shared" ca="1" si="45"/>
        <v>18.656716417910449</v>
      </c>
      <c r="K403">
        <f t="shared" ca="1" si="46"/>
        <v>16.915422885572141</v>
      </c>
      <c r="L403">
        <f t="shared" ca="1" si="47"/>
        <v>16.666666666666664</v>
      </c>
      <c r="M403">
        <f t="shared" ca="1" si="48"/>
        <v>18.656716417910449</v>
      </c>
      <c r="N403">
        <f t="shared" ca="1" si="49"/>
        <v>14.925373134328357</v>
      </c>
    </row>
    <row r="404" spans="1:14" x14ac:dyDescent="0.3">
      <c r="A404">
        <f t="shared" ca="1" si="43"/>
        <v>2</v>
      </c>
      <c r="C404">
        <f ca="1">COUNTIF(A$2:A404,1)</f>
        <v>57</v>
      </c>
      <c r="D404">
        <f ca="1">COUNTIF($A$2:$A404,2)</f>
        <v>76</v>
      </c>
      <c r="E404">
        <f ca="1">COUNTIF($A$2:$A404,3)</f>
        <v>68</v>
      </c>
      <c r="F404">
        <f ca="1">COUNTIF($A$2:$A404,4)</f>
        <v>67</v>
      </c>
      <c r="G404">
        <f ca="1">COUNTIF($A$2:$A404,5)</f>
        <v>75</v>
      </c>
      <c r="H404">
        <f ca="1">COUNTIF($A$2:$A404,6)</f>
        <v>60</v>
      </c>
      <c r="I404">
        <f t="shared" ca="1" si="44"/>
        <v>14.143920595533499</v>
      </c>
      <c r="J404">
        <f t="shared" ca="1" si="45"/>
        <v>18.858560794044664</v>
      </c>
      <c r="K404">
        <f t="shared" ca="1" si="46"/>
        <v>16.873449131513649</v>
      </c>
      <c r="L404">
        <f t="shared" ca="1" si="47"/>
        <v>16.625310173697269</v>
      </c>
      <c r="M404">
        <f t="shared" ca="1" si="48"/>
        <v>18.610421836228287</v>
      </c>
      <c r="N404">
        <f t="shared" ca="1" si="49"/>
        <v>14.888337468982629</v>
      </c>
    </row>
    <row r="405" spans="1:14" x14ac:dyDescent="0.3">
      <c r="A405">
        <f t="shared" ca="1" si="43"/>
        <v>3</v>
      </c>
      <c r="C405">
        <f ca="1">COUNTIF(A$2:A405,1)</f>
        <v>57</v>
      </c>
      <c r="D405">
        <f ca="1">COUNTIF($A$2:$A405,2)</f>
        <v>76</v>
      </c>
      <c r="E405">
        <f ca="1">COUNTIF($A$2:$A405,3)</f>
        <v>69</v>
      </c>
      <c r="F405">
        <f ca="1">COUNTIF($A$2:$A405,4)</f>
        <v>67</v>
      </c>
      <c r="G405">
        <f ca="1">COUNTIF($A$2:$A405,5)</f>
        <v>75</v>
      </c>
      <c r="H405">
        <f ca="1">COUNTIF($A$2:$A405,6)</f>
        <v>60</v>
      </c>
      <c r="I405">
        <f t="shared" ca="1" si="44"/>
        <v>14.108910891089108</v>
      </c>
      <c r="J405">
        <f t="shared" ca="1" si="45"/>
        <v>18.811881188118811</v>
      </c>
      <c r="K405">
        <f t="shared" ca="1" si="46"/>
        <v>17.079207920792079</v>
      </c>
      <c r="L405">
        <f t="shared" ca="1" si="47"/>
        <v>16.584158415841586</v>
      </c>
      <c r="M405">
        <f t="shared" ca="1" si="48"/>
        <v>18.564356435643564</v>
      </c>
      <c r="N405">
        <f t="shared" ca="1" si="49"/>
        <v>14.85148514851485</v>
      </c>
    </row>
    <row r="406" spans="1:14" x14ac:dyDescent="0.3">
      <c r="A406">
        <f t="shared" ca="1" si="43"/>
        <v>6</v>
      </c>
      <c r="C406">
        <f ca="1">COUNTIF(A$2:A406,1)</f>
        <v>57</v>
      </c>
      <c r="D406">
        <f ca="1">COUNTIF($A$2:$A406,2)</f>
        <v>76</v>
      </c>
      <c r="E406">
        <f ca="1">COUNTIF($A$2:$A406,3)</f>
        <v>69</v>
      </c>
      <c r="F406">
        <f ca="1">COUNTIF($A$2:$A406,4)</f>
        <v>67</v>
      </c>
      <c r="G406">
        <f ca="1">COUNTIF($A$2:$A406,5)</f>
        <v>75</v>
      </c>
      <c r="H406">
        <f ca="1">COUNTIF($A$2:$A406,6)</f>
        <v>61</v>
      </c>
      <c r="I406">
        <f t="shared" ca="1" si="44"/>
        <v>14.074074074074074</v>
      </c>
      <c r="J406">
        <f t="shared" ca="1" si="45"/>
        <v>18.765432098765434</v>
      </c>
      <c r="K406">
        <f t="shared" ca="1" si="46"/>
        <v>17.037037037037038</v>
      </c>
      <c r="L406">
        <f t="shared" ca="1" si="47"/>
        <v>16.543209876543212</v>
      </c>
      <c r="M406">
        <f t="shared" ca="1" si="48"/>
        <v>18.518518518518519</v>
      </c>
      <c r="N406">
        <f t="shared" ca="1" si="49"/>
        <v>15.06172839506173</v>
      </c>
    </row>
    <row r="407" spans="1:14" x14ac:dyDescent="0.3">
      <c r="A407">
        <f t="shared" ca="1" si="43"/>
        <v>6</v>
      </c>
      <c r="C407">
        <f ca="1">COUNTIF(A$2:A407,1)</f>
        <v>57</v>
      </c>
      <c r="D407">
        <f ca="1">COUNTIF($A$2:$A407,2)</f>
        <v>76</v>
      </c>
      <c r="E407">
        <f ca="1">COUNTIF($A$2:$A407,3)</f>
        <v>69</v>
      </c>
      <c r="F407">
        <f ca="1">COUNTIF($A$2:$A407,4)</f>
        <v>67</v>
      </c>
      <c r="G407">
        <f ca="1">COUNTIF($A$2:$A407,5)</f>
        <v>75</v>
      </c>
      <c r="H407">
        <f ca="1">COUNTIF($A$2:$A407,6)</f>
        <v>62</v>
      </c>
      <c r="I407">
        <f t="shared" ca="1" si="44"/>
        <v>14.039408866995073</v>
      </c>
      <c r="J407">
        <f t="shared" ca="1" si="45"/>
        <v>18.7192118226601</v>
      </c>
      <c r="K407">
        <f t="shared" ca="1" si="46"/>
        <v>16.995073891625616</v>
      </c>
      <c r="L407">
        <f t="shared" ca="1" si="47"/>
        <v>16.502463054187192</v>
      </c>
      <c r="M407">
        <f t="shared" ca="1" si="48"/>
        <v>18.472906403940886</v>
      </c>
      <c r="N407">
        <f t="shared" ca="1" si="49"/>
        <v>15.270935960591133</v>
      </c>
    </row>
    <row r="408" spans="1:14" x14ac:dyDescent="0.3">
      <c r="A408">
        <f t="shared" ca="1" si="43"/>
        <v>6</v>
      </c>
      <c r="C408">
        <f ca="1">COUNTIF(A$2:A408,1)</f>
        <v>57</v>
      </c>
      <c r="D408">
        <f ca="1">COUNTIF($A$2:$A408,2)</f>
        <v>76</v>
      </c>
      <c r="E408">
        <f ca="1">COUNTIF($A$2:$A408,3)</f>
        <v>69</v>
      </c>
      <c r="F408">
        <f ca="1">COUNTIF($A$2:$A408,4)</f>
        <v>67</v>
      </c>
      <c r="G408">
        <f ca="1">COUNTIF($A$2:$A408,5)</f>
        <v>75</v>
      </c>
      <c r="H408">
        <f ca="1">COUNTIF($A$2:$A408,6)</f>
        <v>63</v>
      </c>
      <c r="I408">
        <f t="shared" ca="1" si="44"/>
        <v>14.004914004914005</v>
      </c>
      <c r="J408">
        <f t="shared" ca="1" si="45"/>
        <v>18.67321867321867</v>
      </c>
      <c r="K408">
        <f t="shared" ca="1" si="46"/>
        <v>16.953316953316953</v>
      </c>
      <c r="L408">
        <f t="shared" ca="1" si="47"/>
        <v>16.461916461916463</v>
      </c>
      <c r="M408">
        <f t="shared" ca="1" si="48"/>
        <v>18.427518427518429</v>
      </c>
      <c r="N408">
        <f t="shared" ca="1" si="49"/>
        <v>15.47911547911548</v>
      </c>
    </row>
    <row r="409" spans="1:14" x14ac:dyDescent="0.3">
      <c r="A409">
        <f t="shared" ca="1" si="43"/>
        <v>1</v>
      </c>
      <c r="C409">
        <f ca="1">COUNTIF(A$2:A409,1)</f>
        <v>58</v>
      </c>
      <c r="D409">
        <f ca="1">COUNTIF($A$2:$A409,2)</f>
        <v>76</v>
      </c>
      <c r="E409">
        <f ca="1">COUNTIF($A$2:$A409,3)</f>
        <v>69</v>
      </c>
      <c r="F409">
        <f ca="1">COUNTIF($A$2:$A409,4)</f>
        <v>67</v>
      </c>
      <c r="G409">
        <f ca="1">COUNTIF($A$2:$A409,5)</f>
        <v>75</v>
      </c>
      <c r="H409">
        <f ca="1">COUNTIF($A$2:$A409,6)</f>
        <v>63</v>
      </c>
      <c r="I409">
        <f t="shared" ca="1" si="44"/>
        <v>14.215686274509803</v>
      </c>
      <c r="J409">
        <f t="shared" ca="1" si="45"/>
        <v>18.627450980392158</v>
      </c>
      <c r="K409">
        <f t="shared" ca="1" si="46"/>
        <v>16.911764705882355</v>
      </c>
      <c r="L409">
        <f t="shared" ca="1" si="47"/>
        <v>16.421568627450981</v>
      </c>
      <c r="M409">
        <f t="shared" ca="1" si="48"/>
        <v>18.382352941176471</v>
      </c>
      <c r="N409">
        <f t="shared" ca="1" si="49"/>
        <v>15.441176470588236</v>
      </c>
    </row>
    <row r="410" spans="1:14" x14ac:dyDescent="0.3">
      <c r="A410">
        <f t="shared" ca="1" si="43"/>
        <v>4</v>
      </c>
      <c r="C410">
        <f ca="1">COUNTIF(A$2:A410,1)</f>
        <v>58</v>
      </c>
      <c r="D410">
        <f ca="1">COUNTIF($A$2:$A410,2)</f>
        <v>76</v>
      </c>
      <c r="E410">
        <f ca="1">COUNTIF($A$2:$A410,3)</f>
        <v>69</v>
      </c>
      <c r="F410">
        <f ca="1">COUNTIF($A$2:$A410,4)</f>
        <v>68</v>
      </c>
      <c r="G410">
        <f ca="1">COUNTIF($A$2:$A410,5)</f>
        <v>75</v>
      </c>
      <c r="H410">
        <f ca="1">COUNTIF($A$2:$A410,6)</f>
        <v>63</v>
      </c>
      <c r="I410">
        <f t="shared" ca="1" si="44"/>
        <v>14.180929095354522</v>
      </c>
      <c r="J410">
        <f t="shared" ca="1" si="45"/>
        <v>18.581907090464547</v>
      </c>
      <c r="K410">
        <f t="shared" ca="1" si="46"/>
        <v>16.87041564792176</v>
      </c>
      <c r="L410">
        <f t="shared" ca="1" si="47"/>
        <v>16.625916870415647</v>
      </c>
      <c r="M410">
        <f t="shared" ca="1" si="48"/>
        <v>18.337408312958438</v>
      </c>
      <c r="N410">
        <f t="shared" ca="1" si="49"/>
        <v>15.403422982885084</v>
      </c>
    </row>
    <row r="411" spans="1:14" x14ac:dyDescent="0.3">
      <c r="A411">
        <f t="shared" ca="1" si="43"/>
        <v>2</v>
      </c>
      <c r="C411">
        <f ca="1">COUNTIF(A$2:A411,1)</f>
        <v>58</v>
      </c>
      <c r="D411">
        <f ca="1">COUNTIF($A$2:$A411,2)</f>
        <v>77</v>
      </c>
      <c r="E411">
        <f ca="1">COUNTIF($A$2:$A411,3)</f>
        <v>69</v>
      </c>
      <c r="F411">
        <f ca="1">COUNTIF($A$2:$A411,4)</f>
        <v>68</v>
      </c>
      <c r="G411">
        <f ca="1">COUNTIF($A$2:$A411,5)</f>
        <v>75</v>
      </c>
      <c r="H411">
        <f ca="1">COUNTIF($A$2:$A411,6)</f>
        <v>63</v>
      </c>
      <c r="I411">
        <f t="shared" ca="1" si="44"/>
        <v>14.146341463414632</v>
      </c>
      <c r="J411">
        <f t="shared" ca="1" si="45"/>
        <v>18.780487804878049</v>
      </c>
      <c r="K411">
        <f t="shared" ca="1" si="46"/>
        <v>16.829268292682929</v>
      </c>
      <c r="L411">
        <f t="shared" ca="1" si="47"/>
        <v>16.585365853658537</v>
      </c>
      <c r="M411">
        <f t="shared" ca="1" si="48"/>
        <v>18.292682926829269</v>
      </c>
      <c r="N411">
        <f t="shared" ca="1" si="49"/>
        <v>15.365853658536585</v>
      </c>
    </row>
    <row r="412" spans="1:14" x14ac:dyDescent="0.3">
      <c r="A412">
        <f t="shared" ca="1" si="43"/>
        <v>3</v>
      </c>
      <c r="C412">
        <f ca="1">COUNTIF(A$2:A412,1)</f>
        <v>58</v>
      </c>
      <c r="D412">
        <f ca="1">COUNTIF($A$2:$A412,2)</f>
        <v>77</v>
      </c>
      <c r="E412">
        <f ca="1">COUNTIF($A$2:$A412,3)</f>
        <v>70</v>
      </c>
      <c r="F412">
        <f ca="1">COUNTIF($A$2:$A412,4)</f>
        <v>68</v>
      </c>
      <c r="G412">
        <f ca="1">COUNTIF($A$2:$A412,5)</f>
        <v>75</v>
      </c>
      <c r="H412">
        <f ca="1">COUNTIF($A$2:$A412,6)</f>
        <v>63</v>
      </c>
      <c r="I412">
        <f t="shared" ca="1" si="44"/>
        <v>14.111922141119221</v>
      </c>
      <c r="J412">
        <f t="shared" ca="1" si="45"/>
        <v>18.734793187347933</v>
      </c>
      <c r="K412">
        <f t="shared" ca="1" si="46"/>
        <v>17.031630170316301</v>
      </c>
      <c r="L412">
        <f t="shared" ca="1" si="47"/>
        <v>16.545012165450121</v>
      </c>
      <c r="M412">
        <f t="shared" ca="1" si="48"/>
        <v>18.248175182481752</v>
      </c>
      <c r="N412">
        <f t="shared" ca="1" si="49"/>
        <v>15.328467153284672</v>
      </c>
    </row>
    <row r="413" spans="1:14" x14ac:dyDescent="0.3">
      <c r="A413">
        <f t="shared" ca="1" si="43"/>
        <v>2</v>
      </c>
      <c r="C413">
        <f ca="1">COUNTIF(A$2:A413,1)</f>
        <v>58</v>
      </c>
      <c r="D413">
        <f ca="1">COUNTIF($A$2:$A413,2)</f>
        <v>78</v>
      </c>
      <c r="E413">
        <f ca="1">COUNTIF($A$2:$A413,3)</f>
        <v>70</v>
      </c>
      <c r="F413">
        <f ca="1">COUNTIF($A$2:$A413,4)</f>
        <v>68</v>
      </c>
      <c r="G413">
        <f ca="1">COUNTIF($A$2:$A413,5)</f>
        <v>75</v>
      </c>
      <c r="H413">
        <f ca="1">COUNTIF($A$2:$A413,6)</f>
        <v>63</v>
      </c>
      <c r="I413">
        <f t="shared" ca="1" si="44"/>
        <v>14.077669902912621</v>
      </c>
      <c r="J413">
        <f t="shared" ca="1" si="45"/>
        <v>18.932038834951456</v>
      </c>
      <c r="K413">
        <f t="shared" ca="1" si="46"/>
        <v>16.990291262135923</v>
      </c>
      <c r="L413">
        <f t="shared" ca="1" si="47"/>
        <v>16.50485436893204</v>
      </c>
      <c r="M413">
        <f t="shared" ca="1" si="48"/>
        <v>18.203883495145632</v>
      </c>
      <c r="N413">
        <f t="shared" ca="1" si="49"/>
        <v>15.291262135922329</v>
      </c>
    </row>
    <row r="414" spans="1:14" x14ac:dyDescent="0.3">
      <c r="A414">
        <f t="shared" ca="1" si="43"/>
        <v>3</v>
      </c>
      <c r="C414">
        <f ca="1">COUNTIF(A$2:A414,1)</f>
        <v>58</v>
      </c>
      <c r="D414">
        <f ca="1">COUNTIF($A$2:$A414,2)</f>
        <v>78</v>
      </c>
      <c r="E414">
        <f ca="1">COUNTIF($A$2:$A414,3)</f>
        <v>71</v>
      </c>
      <c r="F414">
        <f ca="1">COUNTIF($A$2:$A414,4)</f>
        <v>68</v>
      </c>
      <c r="G414">
        <f ca="1">COUNTIF($A$2:$A414,5)</f>
        <v>75</v>
      </c>
      <c r="H414">
        <f ca="1">COUNTIF($A$2:$A414,6)</f>
        <v>63</v>
      </c>
      <c r="I414">
        <f t="shared" ca="1" si="44"/>
        <v>14.043583535108958</v>
      </c>
      <c r="J414">
        <f t="shared" ca="1" si="45"/>
        <v>18.886198547215496</v>
      </c>
      <c r="K414">
        <f t="shared" ca="1" si="46"/>
        <v>17.191283292978206</v>
      </c>
      <c r="L414">
        <f t="shared" ca="1" si="47"/>
        <v>16.464891041162229</v>
      </c>
      <c r="M414">
        <f t="shared" ca="1" si="48"/>
        <v>18.159806295399516</v>
      </c>
      <c r="N414">
        <f t="shared" ca="1" si="49"/>
        <v>15.254237288135593</v>
      </c>
    </row>
    <row r="415" spans="1:14" x14ac:dyDescent="0.3">
      <c r="A415">
        <f t="shared" ca="1" si="43"/>
        <v>5</v>
      </c>
      <c r="C415">
        <f ca="1">COUNTIF(A$2:A415,1)</f>
        <v>58</v>
      </c>
      <c r="D415">
        <f ca="1">COUNTIF($A$2:$A415,2)</f>
        <v>78</v>
      </c>
      <c r="E415">
        <f ca="1">COUNTIF($A$2:$A415,3)</f>
        <v>71</v>
      </c>
      <c r="F415">
        <f ca="1">COUNTIF($A$2:$A415,4)</f>
        <v>68</v>
      </c>
      <c r="G415">
        <f ca="1">COUNTIF($A$2:$A415,5)</f>
        <v>76</v>
      </c>
      <c r="H415">
        <f ca="1">COUNTIF($A$2:$A415,6)</f>
        <v>63</v>
      </c>
      <c r="I415">
        <f t="shared" ca="1" si="44"/>
        <v>14.009661835748794</v>
      </c>
      <c r="J415">
        <f t="shared" ca="1" si="45"/>
        <v>18.840579710144929</v>
      </c>
      <c r="K415">
        <f t="shared" ca="1" si="46"/>
        <v>17.14975845410628</v>
      </c>
      <c r="L415">
        <f t="shared" ca="1" si="47"/>
        <v>16.425120772946862</v>
      </c>
      <c r="M415">
        <f t="shared" ca="1" si="48"/>
        <v>18.357487922705314</v>
      </c>
      <c r="N415">
        <f t="shared" ca="1" si="49"/>
        <v>15.217391304347828</v>
      </c>
    </row>
    <row r="416" spans="1:14" x14ac:dyDescent="0.3">
      <c r="A416">
        <f t="shared" ca="1" si="43"/>
        <v>2</v>
      </c>
      <c r="C416">
        <f ca="1">COUNTIF(A$2:A416,1)</f>
        <v>58</v>
      </c>
      <c r="D416">
        <f ca="1">COUNTIF($A$2:$A416,2)</f>
        <v>79</v>
      </c>
      <c r="E416">
        <f ca="1">COUNTIF($A$2:$A416,3)</f>
        <v>71</v>
      </c>
      <c r="F416">
        <f ca="1">COUNTIF($A$2:$A416,4)</f>
        <v>68</v>
      </c>
      <c r="G416">
        <f ca="1">COUNTIF($A$2:$A416,5)</f>
        <v>76</v>
      </c>
      <c r="H416">
        <f ca="1">COUNTIF($A$2:$A416,6)</f>
        <v>63</v>
      </c>
      <c r="I416">
        <f t="shared" ca="1" si="44"/>
        <v>13.975903614457833</v>
      </c>
      <c r="J416">
        <f t="shared" ca="1" si="45"/>
        <v>19.036144578313252</v>
      </c>
      <c r="K416">
        <f t="shared" ca="1" si="46"/>
        <v>17.108433734939759</v>
      </c>
      <c r="L416">
        <f t="shared" ca="1" si="47"/>
        <v>16.3855421686747</v>
      </c>
      <c r="M416">
        <f t="shared" ca="1" si="48"/>
        <v>18.313253012048193</v>
      </c>
      <c r="N416">
        <f t="shared" ca="1" si="49"/>
        <v>15.180722891566264</v>
      </c>
    </row>
    <row r="417" spans="1:14" x14ac:dyDescent="0.3">
      <c r="A417">
        <f t="shared" ca="1" si="43"/>
        <v>3</v>
      </c>
      <c r="C417">
        <f ca="1">COUNTIF(A$2:A417,1)</f>
        <v>58</v>
      </c>
      <c r="D417">
        <f ca="1">COUNTIF($A$2:$A417,2)</f>
        <v>79</v>
      </c>
      <c r="E417">
        <f ca="1">COUNTIF($A$2:$A417,3)</f>
        <v>72</v>
      </c>
      <c r="F417">
        <f ca="1">COUNTIF($A$2:$A417,4)</f>
        <v>68</v>
      </c>
      <c r="G417">
        <f ca="1">COUNTIF($A$2:$A417,5)</f>
        <v>76</v>
      </c>
      <c r="H417">
        <f ca="1">COUNTIF($A$2:$A417,6)</f>
        <v>63</v>
      </c>
      <c r="I417">
        <f t="shared" ca="1" si="44"/>
        <v>13.942307692307693</v>
      </c>
      <c r="J417">
        <f t="shared" ca="1" si="45"/>
        <v>18.990384615384613</v>
      </c>
      <c r="K417">
        <f t="shared" ca="1" si="46"/>
        <v>17.307692307692307</v>
      </c>
      <c r="L417">
        <f t="shared" ca="1" si="47"/>
        <v>16.346153846153847</v>
      </c>
      <c r="M417">
        <f t="shared" ca="1" si="48"/>
        <v>18.269230769230766</v>
      </c>
      <c r="N417">
        <f t="shared" ca="1" si="49"/>
        <v>15.144230769230768</v>
      </c>
    </row>
    <row r="418" spans="1:14" x14ac:dyDescent="0.3">
      <c r="A418">
        <f t="shared" ca="1" si="43"/>
        <v>4</v>
      </c>
      <c r="C418">
        <f ca="1">COUNTIF(A$2:A418,1)</f>
        <v>58</v>
      </c>
      <c r="D418">
        <f ca="1">COUNTIF($A$2:$A418,2)</f>
        <v>79</v>
      </c>
      <c r="E418">
        <f ca="1">COUNTIF($A$2:$A418,3)</f>
        <v>72</v>
      </c>
      <c r="F418">
        <f ca="1">COUNTIF($A$2:$A418,4)</f>
        <v>69</v>
      </c>
      <c r="G418">
        <f ca="1">COUNTIF($A$2:$A418,5)</f>
        <v>76</v>
      </c>
      <c r="H418">
        <f ca="1">COUNTIF($A$2:$A418,6)</f>
        <v>63</v>
      </c>
      <c r="I418">
        <f t="shared" ca="1" si="44"/>
        <v>13.908872901678656</v>
      </c>
      <c r="J418">
        <f t="shared" ca="1" si="45"/>
        <v>18.944844124700239</v>
      </c>
      <c r="K418">
        <f t="shared" ca="1" si="46"/>
        <v>17.266187050359711</v>
      </c>
      <c r="L418">
        <f t="shared" ca="1" si="47"/>
        <v>16.546762589928058</v>
      </c>
      <c r="M418">
        <f t="shared" ca="1" si="48"/>
        <v>18.225419664268586</v>
      </c>
      <c r="N418">
        <f t="shared" ca="1" si="49"/>
        <v>15.107913669064748</v>
      </c>
    </row>
    <row r="419" spans="1:14" x14ac:dyDescent="0.3">
      <c r="A419">
        <f t="shared" ca="1" si="43"/>
        <v>2</v>
      </c>
      <c r="C419">
        <f ca="1">COUNTIF(A$2:A419,1)</f>
        <v>58</v>
      </c>
      <c r="D419">
        <f ca="1">COUNTIF($A$2:$A419,2)</f>
        <v>80</v>
      </c>
      <c r="E419">
        <f ca="1">COUNTIF($A$2:$A419,3)</f>
        <v>72</v>
      </c>
      <c r="F419">
        <f ca="1">COUNTIF($A$2:$A419,4)</f>
        <v>69</v>
      </c>
      <c r="G419">
        <f ca="1">COUNTIF($A$2:$A419,5)</f>
        <v>76</v>
      </c>
      <c r="H419">
        <f ca="1">COUNTIF($A$2:$A419,6)</f>
        <v>63</v>
      </c>
      <c r="I419">
        <f t="shared" ca="1" si="44"/>
        <v>13.875598086124402</v>
      </c>
      <c r="J419">
        <f t="shared" ca="1" si="45"/>
        <v>19.138755980861244</v>
      </c>
      <c r="K419">
        <f t="shared" ca="1" si="46"/>
        <v>17.224880382775119</v>
      </c>
      <c r="L419">
        <f t="shared" ca="1" si="47"/>
        <v>16.507177033492823</v>
      </c>
      <c r="M419">
        <f t="shared" ca="1" si="48"/>
        <v>18.181818181818183</v>
      </c>
      <c r="N419">
        <f t="shared" ca="1" si="49"/>
        <v>15.07177033492823</v>
      </c>
    </row>
    <row r="420" spans="1:14" x14ac:dyDescent="0.3">
      <c r="A420">
        <f t="shared" ca="1" si="43"/>
        <v>2</v>
      </c>
      <c r="C420">
        <f ca="1">COUNTIF(A$2:A420,1)</f>
        <v>58</v>
      </c>
      <c r="D420">
        <f ca="1">COUNTIF($A$2:$A420,2)</f>
        <v>81</v>
      </c>
      <c r="E420">
        <f ca="1">COUNTIF($A$2:$A420,3)</f>
        <v>72</v>
      </c>
      <c r="F420">
        <f ca="1">COUNTIF($A$2:$A420,4)</f>
        <v>69</v>
      </c>
      <c r="G420">
        <f ca="1">COUNTIF($A$2:$A420,5)</f>
        <v>76</v>
      </c>
      <c r="H420">
        <f ca="1">COUNTIF($A$2:$A420,6)</f>
        <v>63</v>
      </c>
      <c r="I420">
        <f t="shared" ca="1" si="44"/>
        <v>13.842482100238662</v>
      </c>
      <c r="J420">
        <f t="shared" ca="1" si="45"/>
        <v>19.331742243436754</v>
      </c>
      <c r="K420">
        <f t="shared" ca="1" si="46"/>
        <v>17.183770883054891</v>
      </c>
      <c r="L420">
        <f t="shared" ca="1" si="47"/>
        <v>16.467780429594274</v>
      </c>
      <c r="M420">
        <f t="shared" ca="1" si="48"/>
        <v>18.138424821002385</v>
      </c>
      <c r="N420">
        <f t="shared" ca="1" si="49"/>
        <v>15.035799522673033</v>
      </c>
    </row>
    <row r="421" spans="1:14" x14ac:dyDescent="0.3">
      <c r="A421">
        <f t="shared" ca="1" si="43"/>
        <v>4</v>
      </c>
      <c r="C421">
        <f ca="1">COUNTIF(A$2:A421,1)</f>
        <v>58</v>
      </c>
      <c r="D421">
        <f ca="1">COUNTIF($A$2:$A421,2)</f>
        <v>81</v>
      </c>
      <c r="E421">
        <f ca="1">COUNTIF($A$2:$A421,3)</f>
        <v>72</v>
      </c>
      <c r="F421">
        <f ca="1">COUNTIF($A$2:$A421,4)</f>
        <v>70</v>
      </c>
      <c r="G421">
        <f ca="1">COUNTIF($A$2:$A421,5)</f>
        <v>76</v>
      </c>
      <c r="H421">
        <f ca="1">COUNTIF($A$2:$A421,6)</f>
        <v>63</v>
      </c>
      <c r="I421">
        <f t="shared" ca="1" si="44"/>
        <v>13.80952380952381</v>
      </c>
      <c r="J421">
        <f t="shared" ca="1" si="45"/>
        <v>19.285714285714288</v>
      </c>
      <c r="K421">
        <f t="shared" ca="1" si="46"/>
        <v>17.142857142857142</v>
      </c>
      <c r="L421">
        <f t="shared" ca="1" si="47"/>
        <v>16.666666666666664</v>
      </c>
      <c r="M421">
        <f t="shared" ca="1" si="48"/>
        <v>18.095238095238095</v>
      </c>
      <c r="N421">
        <f t="shared" ca="1" si="49"/>
        <v>15</v>
      </c>
    </row>
    <row r="422" spans="1:14" x14ac:dyDescent="0.3">
      <c r="A422">
        <f t="shared" ca="1" si="43"/>
        <v>1</v>
      </c>
      <c r="C422">
        <f ca="1">COUNTIF(A$2:A422,1)</f>
        <v>59</v>
      </c>
      <c r="D422">
        <f ca="1">COUNTIF($A$2:$A422,2)</f>
        <v>81</v>
      </c>
      <c r="E422">
        <f ca="1">COUNTIF($A$2:$A422,3)</f>
        <v>72</v>
      </c>
      <c r="F422">
        <f ca="1">COUNTIF($A$2:$A422,4)</f>
        <v>70</v>
      </c>
      <c r="G422">
        <f ca="1">COUNTIF($A$2:$A422,5)</f>
        <v>76</v>
      </c>
      <c r="H422">
        <f ca="1">COUNTIF($A$2:$A422,6)</f>
        <v>63</v>
      </c>
      <c r="I422">
        <f t="shared" ca="1" si="44"/>
        <v>14.014251781472684</v>
      </c>
      <c r="J422">
        <f t="shared" ca="1" si="45"/>
        <v>19.239904988123516</v>
      </c>
      <c r="K422">
        <f t="shared" ca="1" si="46"/>
        <v>17.102137767220903</v>
      </c>
      <c r="L422">
        <f t="shared" ca="1" si="47"/>
        <v>16.6270783847981</v>
      </c>
      <c r="M422">
        <f t="shared" ca="1" si="48"/>
        <v>18.052256532066508</v>
      </c>
      <c r="N422">
        <f t="shared" ca="1" si="49"/>
        <v>14.964370546318289</v>
      </c>
    </row>
    <row r="423" spans="1:14" x14ac:dyDescent="0.3">
      <c r="A423">
        <f t="shared" ca="1" si="43"/>
        <v>6</v>
      </c>
      <c r="C423">
        <f ca="1">COUNTIF(A$2:A423,1)</f>
        <v>59</v>
      </c>
      <c r="D423">
        <f ca="1">COUNTIF($A$2:$A423,2)</f>
        <v>81</v>
      </c>
      <c r="E423">
        <f ca="1">COUNTIF($A$2:$A423,3)</f>
        <v>72</v>
      </c>
      <c r="F423">
        <f ca="1">COUNTIF($A$2:$A423,4)</f>
        <v>70</v>
      </c>
      <c r="G423">
        <f ca="1">COUNTIF($A$2:$A423,5)</f>
        <v>76</v>
      </c>
      <c r="H423">
        <f ca="1">COUNTIF($A$2:$A423,6)</f>
        <v>64</v>
      </c>
      <c r="I423">
        <f t="shared" ca="1" si="44"/>
        <v>13.981042654028435</v>
      </c>
      <c r="J423">
        <f t="shared" ca="1" si="45"/>
        <v>19.194312796208532</v>
      </c>
      <c r="K423">
        <f t="shared" ca="1" si="46"/>
        <v>17.061611374407583</v>
      </c>
      <c r="L423">
        <f t="shared" ca="1" si="47"/>
        <v>16.587677725118482</v>
      </c>
      <c r="M423">
        <f t="shared" ca="1" si="48"/>
        <v>18.009478672985782</v>
      </c>
      <c r="N423">
        <f t="shared" ca="1" si="49"/>
        <v>15.165876777251185</v>
      </c>
    </row>
    <row r="424" spans="1:14" x14ac:dyDescent="0.3">
      <c r="A424">
        <f t="shared" ca="1" si="43"/>
        <v>6</v>
      </c>
      <c r="C424">
        <f ca="1">COUNTIF(A$2:A424,1)</f>
        <v>59</v>
      </c>
      <c r="D424">
        <f ca="1">COUNTIF($A$2:$A424,2)</f>
        <v>81</v>
      </c>
      <c r="E424">
        <f ca="1">COUNTIF($A$2:$A424,3)</f>
        <v>72</v>
      </c>
      <c r="F424">
        <f ca="1">COUNTIF($A$2:$A424,4)</f>
        <v>70</v>
      </c>
      <c r="G424">
        <f ca="1">COUNTIF($A$2:$A424,5)</f>
        <v>76</v>
      </c>
      <c r="H424">
        <f ca="1">COUNTIF($A$2:$A424,6)</f>
        <v>65</v>
      </c>
      <c r="I424">
        <f t="shared" ca="1" si="44"/>
        <v>13.947990543735225</v>
      </c>
      <c r="J424">
        <f t="shared" ca="1" si="45"/>
        <v>19.148936170212767</v>
      </c>
      <c r="K424">
        <f t="shared" ca="1" si="46"/>
        <v>17.021276595744681</v>
      </c>
      <c r="L424">
        <f t="shared" ca="1" si="47"/>
        <v>16.548463356973993</v>
      </c>
      <c r="M424">
        <f t="shared" ca="1" si="48"/>
        <v>17.966903073286051</v>
      </c>
      <c r="N424">
        <f t="shared" ca="1" si="49"/>
        <v>15.366430260047281</v>
      </c>
    </row>
    <row r="425" spans="1:14" x14ac:dyDescent="0.3">
      <c r="A425">
        <f t="shared" ca="1" si="43"/>
        <v>4</v>
      </c>
      <c r="C425">
        <f ca="1">COUNTIF(A$2:A425,1)</f>
        <v>59</v>
      </c>
      <c r="D425">
        <f ca="1">COUNTIF($A$2:$A425,2)</f>
        <v>81</v>
      </c>
      <c r="E425">
        <f ca="1">COUNTIF($A$2:$A425,3)</f>
        <v>72</v>
      </c>
      <c r="F425">
        <f ca="1">COUNTIF($A$2:$A425,4)</f>
        <v>71</v>
      </c>
      <c r="G425">
        <f ca="1">COUNTIF($A$2:$A425,5)</f>
        <v>76</v>
      </c>
      <c r="H425">
        <f ca="1">COUNTIF($A$2:$A425,6)</f>
        <v>65</v>
      </c>
      <c r="I425">
        <f t="shared" ca="1" si="44"/>
        <v>13.915094339622641</v>
      </c>
      <c r="J425">
        <f t="shared" ca="1" si="45"/>
        <v>19.10377358490566</v>
      </c>
      <c r="K425">
        <f t="shared" ca="1" si="46"/>
        <v>16.981132075471699</v>
      </c>
      <c r="L425">
        <f t="shared" ca="1" si="47"/>
        <v>16.745283018867923</v>
      </c>
      <c r="M425">
        <f t="shared" ca="1" si="48"/>
        <v>17.924528301886792</v>
      </c>
      <c r="N425">
        <f t="shared" ca="1" si="49"/>
        <v>15.330188679245282</v>
      </c>
    </row>
    <row r="426" spans="1:14" x14ac:dyDescent="0.3">
      <c r="A426">
        <f t="shared" ca="1" si="43"/>
        <v>4</v>
      </c>
      <c r="C426">
        <f ca="1">COUNTIF(A$2:A426,1)</f>
        <v>59</v>
      </c>
      <c r="D426">
        <f ca="1">COUNTIF($A$2:$A426,2)</f>
        <v>81</v>
      </c>
      <c r="E426">
        <f ca="1">COUNTIF($A$2:$A426,3)</f>
        <v>72</v>
      </c>
      <c r="F426">
        <f ca="1">COUNTIF($A$2:$A426,4)</f>
        <v>72</v>
      </c>
      <c r="G426">
        <f ca="1">COUNTIF($A$2:$A426,5)</f>
        <v>76</v>
      </c>
      <c r="H426">
        <f ca="1">COUNTIF($A$2:$A426,6)</f>
        <v>65</v>
      </c>
      <c r="I426">
        <f t="shared" ca="1" si="44"/>
        <v>13.882352941176471</v>
      </c>
      <c r="J426">
        <f t="shared" ca="1" si="45"/>
        <v>19.058823529411764</v>
      </c>
      <c r="K426">
        <f t="shared" ca="1" si="46"/>
        <v>16.941176470588236</v>
      </c>
      <c r="L426">
        <f t="shared" ca="1" si="47"/>
        <v>16.941176470588236</v>
      </c>
      <c r="M426">
        <f t="shared" ca="1" si="48"/>
        <v>17.882352941176471</v>
      </c>
      <c r="N426">
        <f t="shared" ca="1" si="49"/>
        <v>15.294117647058824</v>
      </c>
    </row>
    <row r="427" spans="1:14" x14ac:dyDescent="0.3">
      <c r="A427">
        <f t="shared" ca="1" si="43"/>
        <v>6</v>
      </c>
      <c r="C427">
        <f ca="1">COUNTIF(A$2:A427,1)</f>
        <v>59</v>
      </c>
      <c r="D427">
        <f ca="1">COUNTIF($A$2:$A427,2)</f>
        <v>81</v>
      </c>
      <c r="E427">
        <f ca="1">COUNTIF($A$2:$A427,3)</f>
        <v>72</v>
      </c>
      <c r="F427">
        <f ca="1">COUNTIF($A$2:$A427,4)</f>
        <v>72</v>
      </c>
      <c r="G427">
        <f ca="1">COUNTIF($A$2:$A427,5)</f>
        <v>76</v>
      </c>
      <c r="H427">
        <f ca="1">COUNTIF($A$2:$A427,6)</f>
        <v>66</v>
      </c>
      <c r="I427">
        <f t="shared" ca="1" si="44"/>
        <v>13.849765258215962</v>
      </c>
      <c r="J427">
        <f t="shared" ca="1" si="45"/>
        <v>19.014084507042252</v>
      </c>
      <c r="K427">
        <f t="shared" ca="1" si="46"/>
        <v>16.901408450704224</v>
      </c>
      <c r="L427">
        <f t="shared" ca="1" si="47"/>
        <v>16.901408450704224</v>
      </c>
      <c r="M427">
        <f t="shared" ca="1" si="48"/>
        <v>17.84037558685446</v>
      </c>
      <c r="N427">
        <f t="shared" ca="1" si="49"/>
        <v>15.492957746478872</v>
      </c>
    </row>
    <row r="428" spans="1:14" x14ac:dyDescent="0.3">
      <c r="A428">
        <f t="shared" ca="1" si="43"/>
        <v>4</v>
      </c>
      <c r="C428">
        <f ca="1">COUNTIF(A$2:A428,1)</f>
        <v>59</v>
      </c>
      <c r="D428">
        <f ca="1">COUNTIF($A$2:$A428,2)</f>
        <v>81</v>
      </c>
      <c r="E428">
        <f ca="1">COUNTIF($A$2:$A428,3)</f>
        <v>72</v>
      </c>
      <c r="F428">
        <f ca="1">COUNTIF($A$2:$A428,4)</f>
        <v>73</v>
      </c>
      <c r="G428">
        <f ca="1">COUNTIF($A$2:$A428,5)</f>
        <v>76</v>
      </c>
      <c r="H428">
        <f ca="1">COUNTIF($A$2:$A428,6)</f>
        <v>66</v>
      </c>
      <c r="I428">
        <f t="shared" ca="1" si="44"/>
        <v>13.817330210772832</v>
      </c>
      <c r="J428">
        <f t="shared" ca="1" si="45"/>
        <v>18.969555035128806</v>
      </c>
      <c r="K428">
        <f t="shared" ca="1" si="46"/>
        <v>16.861826697892273</v>
      </c>
      <c r="L428">
        <f t="shared" ca="1" si="47"/>
        <v>17.096018735362996</v>
      </c>
      <c r="M428">
        <f t="shared" ca="1" si="48"/>
        <v>17.798594847775178</v>
      </c>
      <c r="N428">
        <f t="shared" ca="1" si="49"/>
        <v>15.456674473067917</v>
      </c>
    </row>
    <row r="429" spans="1:14" x14ac:dyDescent="0.3">
      <c r="A429">
        <f t="shared" ca="1" si="43"/>
        <v>4</v>
      </c>
      <c r="C429">
        <f ca="1">COUNTIF(A$2:A429,1)</f>
        <v>59</v>
      </c>
      <c r="D429">
        <f ca="1">COUNTIF($A$2:$A429,2)</f>
        <v>81</v>
      </c>
      <c r="E429">
        <f ca="1">COUNTIF($A$2:$A429,3)</f>
        <v>72</v>
      </c>
      <c r="F429">
        <f ca="1">COUNTIF($A$2:$A429,4)</f>
        <v>74</v>
      </c>
      <c r="G429">
        <f ca="1">COUNTIF($A$2:$A429,5)</f>
        <v>76</v>
      </c>
      <c r="H429">
        <f ca="1">COUNTIF($A$2:$A429,6)</f>
        <v>66</v>
      </c>
      <c r="I429">
        <f t="shared" ca="1" si="44"/>
        <v>13.785046728971961</v>
      </c>
      <c r="J429">
        <f t="shared" ca="1" si="45"/>
        <v>18.925233644859812</v>
      </c>
      <c r="K429">
        <f t="shared" ca="1" si="46"/>
        <v>16.822429906542055</v>
      </c>
      <c r="L429">
        <f t="shared" ca="1" si="47"/>
        <v>17.289719626168225</v>
      </c>
      <c r="M429">
        <f t="shared" ca="1" si="48"/>
        <v>17.75700934579439</v>
      </c>
      <c r="N429">
        <f t="shared" ca="1" si="49"/>
        <v>15.420560747663551</v>
      </c>
    </row>
    <row r="430" spans="1:14" x14ac:dyDescent="0.3">
      <c r="A430">
        <f t="shared" ca="1" si="43"/>
        <v>4</v>
      </c>
      <c r="C430">
        <f ca="1">COUNTIF(A$2:A430,1)</f>
        <v>59</v>
      </c>
      <c r="D430">
        <f ca="1">COUNTIF($A$2:$A430,2)</f>
        <v>81</v>
      </c>
      <c r="E430">
        <f ca="1">COUNTIF($A$2:$A430,3)</f>
        <v>72</v>
      </c>
      <c r="F430">
        <f ca="1">COUNTIF($A$2:$A430,4)</f>
        <v>75</v>
      </c>
      <c r="G430">
        <f ca="1">COUNTIF($A$2:$A430,5)</f>
        <v>76</v>
      </c>
      <c r="H430">
        <f ca="1">COUNTIF($A$2:$A430,6)</f>
        <v>66</v>
      </c>
      <c r="I430">
        <f t="shared" ca="1" si="44"/>
        <v>13.752913752913754</v>
      </c>
      <c r="J430">
        <f t="shared" ca="1" si="45"/>
        <v>18.88111888111888</v>
      </c>
      <c r="K430">
        <f t="shared" ca="1" si="46"/>
        <v>16.783216783216783</v>
      </c>
      <c r="L430">
        <f t="shared" ca="1" si="47"/>
        <v>17.482517482517483</v>
      </c>
      <c r="M430">
        <f t="shared" ca="1" si="48"/>
        <v>17.715617715617714</v>
      </c>
      <c r="N430">
        <f t="shared" ca="1" si="49"/>
        <v>15.384615384615385</v>
      </c>
    </row>
    <row r="431" spans="1:14" x14ac:dyDescent="0.3">
      <c r="A431">
        <f t="shared" ca="1" si="43"/>
        <v>2</v>
      </c>
      <c r="C431">
        <f ca="1">COUNTIF(A$2:A431,1)</f>
        <v>59</v>
      </c>
      <c r="D431">
        <f ca="1">COUNTIF($A$2:$A431,2)</f>
        <v>82</v>
      </c>
      <c r="E431">
        <f ca="1">COUNTIF($A$2:$A431,3)</f>
        <v>72</v>
      </c>
      <c r="F431">
        <f ca="1">COUNTIF($A$2:$A431,4)</f>
        <v>75</v>
      </c>
      <c r="G431">
        <f ca="1">COUNTIF($A$2:$A431,5)</f>
        <v>76</v>
      </c>
      <c r="H431">
        <f ca="1">COUNTIF($A$2:$A431,6)</f>
        <v>66</v>
      </c>
      <c r="I431">
        <f t="shared" ca="1" si="44"/>
        <v>13.720930232558141</v>
      </c>
      <c r="J431">
        <f t="shared" ca="1" si="45"/>
        <v>19.069767441860467</v>
      </c>
      <c r="K431">
        <f t="shared" ca="1" si="46"/>
        <v>16.744186046511629</v>
      </c>
      <c r="L431">
        <f t="shared" ca="1" si="47"/>
        <v>17.441860465116278</v>
      </c>
      <c r="M431">
        <f t="shared" ca="1" si="48"/>
        <v>17.674418604651162</v>
      </c>
      <c r="N431">
        <f t="shared" ca="1" si="49"/>
        <v>15.348837209302326</v>
      </c>
    </row>
    <row r="432" spans="1:14" x14ac:dyDescent="0.3">
      <c r="A432">
        <f t="shared" ca="1" si="43"/>
        <v>5</v>
      </c>
      <c r="C432">
        <f ca="1">COUNTIF(A$2:A432,1)</f>
        <v>59</v>
      </c>
      <c r="D432">
        <f ca="1">COUNTIF($A$2:$A432,2)</f>
        <v>82</v>
      </c>
      <c r="E432">
        <f ca="1">COUNTIF($A$2:$A432,3)</f>
        <v>72</v>
      </c>
      <c r="F432">
        <f ca="1">COUNTIF($A$2:$A432,4)</f>
        <v>75</v>
      </c>
      <c r="G432">
        <f ca="1">COUNTIF($A$2:$A432,5)</f>
        <v>77</v>
      </c>
      <c r="H432">
        <f ca="1">COUNTIF($A$2:$A432,6)</f>
        <v>66</v>
      </c>
      <c r="I432">
        <f t="shared" ca="1" si="44"/>
        <v>13.68909512761021</v>
      </c>
      <c r="J432">
        <f t="shared" ca="1" si="45"/>
        <v>19.025522041763342</v>
      </c>
      <c r="K432">
        <f t="shared" ca="1" si="46"/>
        <v>16.705336426914151</v>
      </c>
      <c r="L432">
        <f t="shared" ca="1" si="47"/>
        <v>17.40139211136891</v>
      </c>
      <c r="M432">
        <f t="shared" ca="1" si="48"/>
        <v>17.865429234338748</v>
      </c>
      <c r="N432">
        <f t="shared" ca="1" si="49"/>
        <v>15.31322505800464</v>
      </c>
    </row>
    <row r="433" spans="1:14" x14ac:dyDescent="0.3">
      <c r="A433">
        <f t="shared" ca="1" si="43"/>
        <v>4</v>
      </c>
      <c r="C433">
        <f ca="1">COUNTIF(A$2:A433,1)</f>
        <v>59</v>
      </c>
      <c r="D433">
        <f ca="1">COUNTIF($A$2:$A433,2)</f>
        <v>82</v>
      </c>
      <c r="E433">
        <f ca="1">COUNTIF($A$2:$A433,3)</f>
        <v>72</v>
      </c>
      <c r="F433">
        <f ca="1">COUNTIF($A$2:$A433,4)</f>
        <v>76</v>
      </c>
      <c r="G433">
        <f ca="1">COUNTIF($A$2:$A433,5)</f>
        <v>77</v>
      </c>
      <c r="H433">
        <f ca="1">COUNTIF($A$2:$A433,6)</f>
        <v>66</v>
      </c>
      <c r="I433">
        <f t="shared" ca="1" si="44"/>
        <v>13.657407407407407</v>
      </c>
      <c r="J433">
        <f t="shared" ca="1" si="45"/>
        <v>18.981481481481481</v>
      </c>
      <c r="K433">
        <f t="shared" ca="1" si="46"/>
        <v>16.666666666666664</v>
      </c>
      <c r="L433">
        <f t="shared" ca="1" si="47"/>
        <v>17.592592592592592</v>
      </c>
      <c r="M433">
        <f t="shared" ca="1" si="48"/>
        <v>17.824074074074073</v>
      </c>
      <c r="N433">
        <f t="shared" ca="1" si="49"/>
        <v>15.277777777777779</v>
      </c>
    </row>
    <row r="434" spans="1:14" x14ac:dyDescent="0.3">
      <c r="A434">
        <f t="shared" ca="1" si="43"/>
        <v>2</v>
      </c>
      <c r="C434">
        <f ca="1">COUNTIF(A$2:A434,1)</f>
        <v>59</v>
      </c>
      <c r="D434">
        <f ca="1">COUNTIF($A$2:$A434,2)</f>
        <v>83</v>
      </c>
      <c r="E434">
        <f ca="1">COUNTIF($A$2:$A434,3)</f>
        <v>72</v>
      </c>
      <c r="F434">
        <f ca="1">COUNTIF($A$2:$A434,4)</f>
        <v>76</v>
      </c>
      <c r="G434">
        <f ca="1">COUNTIF($A$2:$A434,5)</f>
        <v>77</v>
      </c>
      <c r="H434">
        <f ca="1">COUNTIF($A$2:$A434,6)</f>
        <v>66</v>
      </c>
      <c r="I434">
        <f t="shared" ca="1" si="44"/>
        <v>13.625866050808314</v>
      </c>
      <c r="J434">
        <f t="shared" ca="1" si="45"/>
        <v>19.168591224018474</v>
      </c>
      <c r="K434">
        <f t="shared" ca="1" si="46"/>
        <v>16.628175519630485</v>
      </c>
      <c r="L434">
        <f t="shared" ca="1" si="47"/>
        <v>17.551963048498845</v>
      </c>
      <c r="M434">
        <f t="shared" ca="1" si="48"/>
        <v>17.782909930715935</v>
      </c>
      <c r="N434">
        <f t="shared" ca="1" si="49"/>
        <v>15.242494226327944</v>
      </c>
    </row>
    <row r="435" spans="1:14" x14ac:dyDescent="0.3">
      <c r="A435">
        <f t="shared" ca="1" si="43"/>
        <v>5</v>
      </c>
      <c r="C435">
        <f ca="1">COUNTIF(A$2:A435,1)</f>
        <v>59</v>
      </c>
      <c r="D435">
        <f ca="1">COUNTIF($A$2:$A435,2)</f>
        <v>83</v>
      </c>
      <c r="E435">
        <f ca="1">COUNTIF($A$2:$A435,3)</f>
        <v>72</v>
      </c>
      <c r="F435">
        <f ca="1">COUNTIF($A$2:$A435,4)</f>
        <v>76</v>
      </c>
      <c r="G435">
        <f ca="1">COUNTIF($A$2:$A435,5)</f>
        <v>78</v>
      </c>
      <c r="H435">
        <f ca="1">COUNTIF($A$2:$A435,6)</f>
        <v>66</v>
      </c>
      <c r="I435">
        <f t="shared" ca="1" si="44"/>
        <v>13.594470046082948</v>
      </c>
      <c r="J435">
        <f t="shared" ca="1" si="45"/>
        <v>19.124423963133641</v>
      </c>
      <c r="K435">
        <f t="shared" ca="1" si="46"/>
        <v>16.589861751152075</v>
      </c>
      <c r="L435">
        <f t="shared" ca="1" si="47"/>
        <v>17.511520737327189</v>
      </c>
      <c r="M435">
        <f t="shared" ca="1" si="48"/>
        <v>17.972350230414747</v>
      </c>
      <c r="N435">
        <f t="shared" ca="1" si="49"/>
        <v>15.207373271889402</v>
      </c>
    </row>
    <row r="436" spans="1:14" x14ac:dyDescent="0.3">
      <c r="A436">
        <f t="shared" ca="1" si="43"/>
        <v>4</v>
      </c>
      <c r="C436">
        <f ca="1">COUNTIF(A$2:A436,1)</f>
        <v>59</v>
      </c>
      <c r="D436">
        <f ca="1">COUNTIF($A$2:$A436,2)</f>
        <v>83</v>
      </c>
      <c r="E436">
        <f ca="1">COUNTIF($A$2:$A436,3)</f>
        <v>72</v>
      </c>
      <c r="F436">
        <f ca="1">COUNTIF($A$2:$A436,4)</f>
        <v>77</v>
      </c>
      <c r="G436">
        <f ca="1">COUNTIF($A$2:$A436,5)</f>
        <v>78</v>
      </c>
      <c r="H436">
        <f ca="1">COUNTIF($A$2:$A436,6)</f>
        <v>66</v>
      </c>
      <c r="I436">
        <f t="shared" ca="1" si="44"/>
        <v>13.563218390804598</v>
      </c>
      <c r="J436">
        <f t="shared" ca="1" si="45"/>
        <v>19.080459770114942</v>
      </c>
      <c r="K436">
        <f t="shared" ca="1" si="46"/>
        <v>16.551724137931036</v>
      </c>
      <c r="L436">
        <f t="shared" ca="1" si="47"/>
        <v>17.701149425287358</v>
      </c>
      <c r="M436">
        <f t="shared" ca="1" si="48"/>
        <v>17.931034482758619</v>
      </c>
      <c r="N436">
        <f t="shared" ca="1" si="49"/>
        <v>15.172413793103448</v>
      </c>
    </row>
    <row r="437" spans="1:14" x14ac:dyDescent="0.3">
      <c r="A437">
        <f t="shared" ca="1" si="43"/>
        <v>1</v>
      </c>
      <c r="C437">
        <f ca="1">COUNTIF(A$2:A437,1)</f>
        <v>60</v>
      </c>
      <c r="D437">
        <f ca="1">COUNTIF($A$2:$A437,2)</f>
        <v>83</v>
      </c>
      <c r="E437">
        <f ca="1">COUNTIF($A$2:$A437,3)</f>
        <v>72</v>
      </c>
      <c r="F437">
        <f ca="1">COUNTIF($A$2:$A437,4)</f>
        <v>77</v>
      </c>
      <c r="G437">
        <f ca="1">COUNTIF($A$2:$A437,5)</f>
        <v>78</v>
      </c>
      <c r="H437">
        <f ca="1">COUNTIF($A$2:$A437,6)</f>
        <v>66</v>
      </c>
      <c r="I437">
        <f t="shared" ca="1" si="44"/>
        <v>13.761467889908257</v>
      </c>
      <c r="J437">
        <f t="shared" ca="1" si="45"/>
        <v>19.036697247706421</v>
      </c>
      <c r="K437">
        <f t="shared" ca="1" si="46"/>
        <v>16.513761467889911</v>
      </c>
      <c r="L437">
        <f t="shared" ca="1" si="47"/>
        <v>17.660550458715598</v>
      </c>
      <c r="M437">
        <f t="shared" ca="1" si="48"/>
        <v>17.889908256880734</v>
      </c>
      <c r="N437">
        <f t="shared" ca="1" si="49"/>
        <v>15.137614678899084</v>
      </c>
    </row>
    <row r="438" spans="1:14" x14ac:dyDescent="0.3">
      <c r="A438">
        <f t="shared" ca="1" si="43"/>
        <v>1</v>
      </c>
      <c r="C438">
        <f ca="1">COUNTIF(A$2:A438,1)</f>
        <v>61</v>
      </c>
      <c r="D438">
        <f ca="1">COUNTIF($A$2:$A438,2)</f>
        <v>83</v>
      </c>
      <c r="E438">
        <f ca="1">COUNTIF($A$2:$A438,3)</f>
        <v>72</v>
      </c>
      <c r="F438">
        <f ca="1">COUNTIF($A$2:$A438,4)</f>
        <v>77</v>
      </c>
      <c r="G438">
        <f ca="1">COUNTIF($A$2:$A438,5)</f>
        <v>78</v>
      </c>
      <c r="H438">
        <f ca="1">COUNTIF($A$2:$A438,6)</f>
        <v>66</v>
      </c>
      <c r="I438">
        <f t="shared" ca="1" si="44"/>
        <v>13.958810068649885</v>
      </c>
      <c r="J438">
        <f t="shared" ca="1" si="45"/>
        <v>18.993135011441648</v>
      </c>
      <c r="K438">
        <f t="shared" ca="1" si="46"/>
        <v>16.475972540045767</v>
      </c>
      <c r="L438">
        <f t="shared" ca="1" si="47"/>
        <v>17.620137299771166</v>
      </c>
      <c r="M438">
        <f t="shared" ca="1" si="48"/>
        <v>17.848970251716249</v>
      </c>
      <c r="N438">
        <f t="shared" ca="1" si="49"/>
        <v>15.102974828375288</v>
      </c>
    </row>
    <row r="439" spans="1:14" x14ac:dyDescent="0.3">
      <c r="A439">
        <f t="shared" ca="1" si="43"/>
        <v>1</v>
      </c>
      <c r="C439">
        <f ca="1">COUNTIF(A$2:A439,1)</f>
        <v>62</v>
      </c>
      <c r="D439">
        <f ca="1">COUNTIF($A$2:$A439,2)</f>
        <v>83</v>
      </c>
      <c r="E439">
        <f ca="1">COUNTIF($A$2:$A439,3)</f>
        <v>72</v>
      </c>
      <c r="F439">
        <f ca="1">COUNTIF($A$2:$A439,4)</f>
        <v>77</v>
      </c>
      <c r="G439">
        <f ca="1">COUNTIF($A$2:$A439,5)</f>
        <v>78</v>
      </c>
      <c r="H439">
        <f ca="1">COUNTIF($A$2:$A439,6)</f>
        <v>66</v>
      </c>
      <c r="I439">
        <f t="shared" ca="1" si="44"/>
        <v>14.15525114155251</v>
      </c>
      <c r="J439">
        <f t="shared" ca="1" si="45"/>
        <v>18.949771689497716</v>
      </c>
      <c r="K439">
        <f t="shared" ca="1" si="46"/>
        <v>16.43835616438356</v>
      </c>
      <c r="L439">
        <f t="shared" ca="1" si="47"/>
        <v>17.579908675799086</v>
      </c>
      <c r="M439">
        <f t="shared" ca="1" si="48"/>
        <v>17.80821917808219</v>
      </c>
      <c r="N439">
        <f t="shared" ca="1" si="49"/>
        <v>15.068493150684931</v>
      </c>
    </row>
    <row r="440" spans="1:14" x14ac:dyDescent="0.3">
      <c r="A440">
        <f t="shared" ca="1" si="43"/>
        <v>4</v>
      </c>
      <c r="C440">
        <f ca="1">COUNTIF(A$2:A440,1)</f>
        <v>62</v>
      </c>
      <c r="D440">
        <f ca="1">COUNTIF($A$2:$A440,2)</f>
        <v>83</v>
      </c>
      <c r="E440">
        <f ca="1">COUNTIF($A$2:$A440,3)</f>
        <v>72</v>
      </c>
      <c r="F440">
        <f ca="1">COUNTIF($A$2:$A440,4)</f>
        <v>78</v>
      </c>
      <c r="G440">
        <f ca="1">COUNTIF($A$2:$A440,5)</f>
        <v>78</v>
      </c>
      <c r="H440">
        <f ca="1">COUNTIF($A$2:$A440,6)</f>
        <v>66</v>
      </c>
      <c r="I440">
        <f t="shared" ca="1" si="44"/>
        <v>14.123006833712983</v>
      </c>
      <c r="J440">
        <f t="shared" ca="1" si="45"/>
        <v>18.906605922551254</v>
      </c>
      <c r="K440">
        <f t="shared" ca="1" si="46"/>
        <v>16.400911161731209</v>
      </c>
      <c r="L440">
        <f t="shared" ca="1" si="47"/>
        <v>17.767653758542139</v>
      </c>
      <c r="M440">
        <f t="shared" ca="1" si="48"/>
        <v>17.767653758542139</v>
      </c>
      <c r="N440">
        <f t="shared" ca="1" si="49"/>
        <v>15.034168564920272</v>
      </c>
    </row>
    <row r="441" spans="1:14" x14ac:dyDescent="0.3">
      <c r="A441">
        <f t="shared" ca="1" si="43"/>
        <v>4</v>
      </c>
      <c r="C441">
        <f ca="1">COUNTIF(A$2:A441,1)</f>
        <v>62</v>
      </c>
      <c r="D441">
        <f ca="1">COUNTIF($A$2:$A441,2)</f>
        <v>83</v>
      </c>
      <c r="E441">
        <f ca="1">COUNTIF($A$2:$A441,3)</f>
        <v>72</v>
      </c>
      <c r="F441">
        <f ca="1">COUNTIF($A$2:$A441,4)</f>
        <v>79</v>
      </c>
      <c r="G441">
        <f ca="1">COUNTIF($A$2:$A441,5)</f>
        <v>78</v>
      </c>
      <c r="H441">
        <f ca="1">COUNTIF($A$2:$A441,6)</f>
        <v>66</v>
      </c>
      <c r="I441">
        <f t="shared" ca="1" si="44"/>
        <v>14.09090909090909</v>
      </c>
      <c r="J441">
        <f t="shared" ca="1" si="45"/>
        <v>18.863636363636363</v>
      </c>
      <c r="K441">
        <f t="shared" ca="1" si="46"/>
        <v>16.363636363636363</v>
      </c>
      <c r="L441">
        <f t="shared" ca="1" si="47"/>
        <v>17.954545454545453</v>
      </c>
      <c r="M441">
        <f t="shared" ca="1" si="48"/>
        <v>17.727272727272727</v>
      </c>
      <c r="N441">
        <f t="shared" ca="1" si="49"/>
        <v>15</v>
      </c>
    </row>
    <row r="442" spans="1:14" x14ac:dyDescent="0.3">
      <c r="A442">
        <f t="shared" ca="1" si="43"/>
        <v>6</v>
      </c>
      <c r="C442">
        <f ca="1">COUNTIF(A$2:A442,1)</f>
        <v>62</v>
      </c>
      <c r="D442">
        <f ca="1">COUNTIF($A$2:$A442,2)</f>
        <v>83</v>
      </c>
      <c r="E442">
        <f ca="1">COUNTIF($A$2:$A442,3)</f>
        <v>72</v>
      </c>
      <c r="F442">
        <f ca="1">COUNTIF($A$2:$A442,4)</f>
        <v>79</v>
      </c>
      <c r="G442">
        <f ca="1">COUNTIF($A$2:$A442,5)</f>
        <v>78</v>
      </c>
      <c r="H442">
        <f ca="1">COUNTIF($A$2:$A442,6)</f>
        <v>67</v>
      </c>
      <c r="I442">
        <f t="shared" ca="1" si="44"/>
        <v>14.058956916099774</v>
      </c>
      <c r="J442">
        <f t="shared" ca="1" si="45"/>
        <v>18.820861678004537</v>
      </c>
      <c r="K442">
        <f t="shared" ca="1" si="46"/>
        <v>16.326530612244898</v>
      </c>
      <c r="L442">
        <f t="shared" ca="1" si="47"/>
        <v>17.913832199546487</v>
      </c>
      <c r="M442">
        <f t="shared" ca="1" si="48"/>
        <v>17.687074829931973</v>
      </c>
      <c r="N442">
        <f t="shared" ca="1" si="49"/>
        <v>15.192743764172336</v>
      </c>
    </row>
    <row r="443" spans="1:14" x14ac:dyDescent="0.3">
      <c r="A443">
        <f t="shared" ca="1" si="43"/>
        <v>2</v>
      </c>
      <c r="C443">
        <f ca="1">COUNTIF(A$2:A443,1)</f>
        <v>62</v>
      </c>
      <c r="D443">
        <f ca="1">COUNTIF($A$2:$A443,2)</f>
        <v>84</v>
      </c>
      <c r="E443">
        <f ca="1">COUNTIF($A$2:$A443,3)</f>
        <v>72</v>
      </c>
      <c r="F443">
        <f ca="1">COUNTIF($A$2:$A443,4)</f>
        <v>79</v>
      </c>
      <c r="G443">
        <f ca="1">COUNTIF($A$2:$A443,5)</f>
        <v>78</v>
      </c>
      <c r="H443">
        <f ca="1">COUNTIF($A$2:$A443,6)</f>
        <v>67</v>
      </c>
      <c r="I443">
        <f t="shared" ca="1" si="44"/>
        <v>14.027149321266968</v>
      </c>
      <c r="J443">
        <f t="shared" ca="1" si="45"/>
        <v>19.004524886877828</v>
      </c>
      <c r="K443">
        <f t="shared" ca="1" si="46"/>
        <v>16.289592760180994</v>
      </c>
      <c r="L443">
        <f t="shared" ca="1" si="47"/>
        <v>17.873303167420815</v>
      </c>
      <c r="M443">
        <f t="shared" ca="1" si="48"/>
        <v>17.647058823529413</v>
      </c>
      <c r="N443">
        <f t="shared" ca="1" si="49"/>
        <v>15.158371040723981</v>
      </c>
    </row>
    <row r="444" spans="1:14" x14ac:dyDescent="0.3">
      <c r="A444">
        <f t="shared" ca="1" si="43"/>
        <v>3</v>
      </c>
      <c r="C444">
        <f ca="1">COUNTIF(A$2:A444,1)</f>
        <v>62</v>
      </c>
      <c r="D444">
        <f ca="1">COUNTIF($A$2:$A444,2)</f>
        <v>84</v>
      </c>
      <c r="E444">
        <f ca="1">COUNTIF($A$2:$A444,3)</f>
        <v>73</v>
      </c>
      <c r="F444">
        <f ca="1">COUNTIF($A$2:$A444,4)</f>
        <v>79</v>
      </c>
      <c r="G444">
        <f ca="1">COUNTIF($A$2:$A444,5)</f>
        <v>78</v>
      </c>
      <c r="H444">
        <f ca="1">COUNTIF($A$2:$A444,6)</f>
        <v>67</v>
      </c>
      <c r="I444">
        <f t="shared" ca="1" si="44"/>
        <v>13.995485327313769</v>
      </c>
      <c r="J444">
        <f t="shared" ca="1" si="45"/>
        <v>18.961625282167045</v>
      </c>
      <c r="K444">
        <f t="shared" ca="1" si="46"/>
        <v>16.478555304740404</v>
      </c>
      <c r="L444">
        <f t="shared" ca="1" si="47"/>
        <v>17.832957110609481</v>
      </c>
      <c r="M444">
        <f t="shared" ca="1" si="48"/>
        <v>17.607223476297968</v>
      </c>
      <c r="N444">
        <f t="shared" ca="1" si="49"/>
        <v>15.124153498871332</v>
      </c>
    </row>
    <row r="445" spans="1:14" x14ac:dyDescent="0.3">
      <c r="A445">
        <f t="shared" ca="1" si="43"/>
        <v>4</v>
      </c>
      <c r="C445">
        <f ca="1">COUNTIF(A$2:A445,1)</f>
        <v>62</v>
      </c>
      <c r="D445">
        <f ca="1">COUNTIF($A$2:$A445,2)</f>
        <v>84</v>
      </c>
      <c r="E445">
        <f ca="1">COUNTIF($A$2:$A445,3)</f>
        <v>73</v>
      </c>
      <c r="F445">
        <f ca="1">COUNTIF($A$2:$A445,4)</f>
        <v>80</v>
      </c>
      <c r="G445">
        <f ca="1">COUNTIF($A$2:$A445,5)</f>
        <v>78</v>
      </c>
      <c r="H445">
        <f ca="1">COUNTIF($A$2:$A445,6)</f>
        <v>67</v>
      </c>
      <c r="I445">
        <f t="shared" ca="1" si="44"/>
        <v>13.963963963963963</v>
      </c>
      <c r="J445">
        <f t="shared" ca="1" si="45"/>
        <v>18.918918918918919</v>
      </c>
      <c r="K445">
        <f t="shared" ca="1" si="46"/>
        <v>16.441441441441444</v>
      </c>
      <c r="L445">
        <f t="shared" ca="1" si="47"/>
        <v>18.018018018018019</v>
      </c>
      <c r="M445">
        <f t="shared" ca="1" si="48"/>
        <v>17.567567567567568</v>
      </c>
      <c r="N445">
        <f t="shared" ca="1" si="49"/>
        <v>15.090090090090092</v>
      </c>
    </row>
    <row r="446" spans="1:14" x14ac:dyDescent="0.3">
      <c r="A446">
        <f t="shared" ca="1" si="43"/>
        <v>1</v>
      </c>
      <c r="C446">
        <f ca="1">COUNTIF(A$2:A446,1)</f>
        <v>63</v>
      </c>
      <c r="D446">
        <f ca="1">COUNTIF($A$2:$A446,2)</f>
        <v>84</v>
      </c>
      <c r="E446">
        <f ca="1">COUNTIF($A$2:$A446,3)</f>
        <v>73</v>
      </c>
      <c r="F446">
        <f ca="1">COUNTIF($A$2:$A446,4)</f>
        <v>80</v>
      </c>
      <c r="G446">
        <f ca="1">COUNTIF($A$2:$A446,5)</f>
        <v>78</v>
      </c>
      <c r="H446">
        <f ca="1">COUNTIF($A$2:$A446,6)</f>
        <v>67</v>
      </c>
      <c r="I446">
        <f t="shared" ca="1" si="44"/>
        <v>14.157303370786517</v>
      </c>
      <c r="J446">
        <f t="shared" ca="1" si="45"/>
        <v>18.876404494382022</v>
      </c>
      <c r="K446">
        <f t="shared" ca="1" si="46"/>
        <v>16.40449438202247</v>
      </c>
      <c r="L446">
        <f t="shared" ca="1" si="47"/>
        <v>17.977528089887642</v>
      </c>
      <c r="M446">
        <f t="shared" ca="1" si="48"/>
        <v>17.528089887640448</v>
      </c>
      <c r="N446">
        <f t="shared" ca="1" si="49"/>
        <v>15.056179775280897</v>
      </c>
    </row>
    <row r="447" spans="1:14" x14ac:dyDescent="0.3">
      <c r="A447">
        <f t="shared" ca="1" si="43"/>
        <v>6</v>
      </c>
      <c r="C447">
        <f ca="1">COUNTIF(A$2:A447,1)</f>
        <v>63</v>
      </c>
      <c r="D447">
        <f ca="1">COUNTIF($A$2:$A447,2)</f>
        <v>84</v>
      </c>
      <c r="E447">
        <f ca="1">COUNTIF($A$2:$A447,3)</f>
        <v>73</v>
      </c>
      <c r="F447">
        <f ca="1">COUNTIF($A$2:$A447,4)</f>
        <v>80</v>
      </c>
      <c r="G447">
        <f ca="1">COUNTIF($A$2:$A447,5)</f>
        <v>78</v>
      </c>
      <c r="H447">
        <f ca="1">COUNTIF($A$2:$A447,6)</f>
        <v>68</v>
      </c>
      <c r="I447">
        <f t="shared" ca="1" si="44"/>
        <v>14.125560538116591</v>
      </c>
      <c r="J447">
        <f t="shared" ca="1" si="45"/>
        <v>18.834080717488789</v>
      </c>
      <c r="K447">
        <f t="shared" ca="1" si="46"/>
        <v>16.367713004484305</v>
      </c>
      <c r="L447">
        <f t="shared" ca="1" si="47"/>
        <v>17.937219730941703</v>
      </c>
      <c r="M447">
        <f t="shared" ca="1" si="48"/>
        <v>17.488789237668161</v>
      </c>
      <c r="N447">
        <f t="shared" ca="1" si="49"/>
        <v>15.246636771300448</v>
      </c>
    </row>
    <row r="448" spans="1:14" x14ac:dyDescent="0.3">
      <c r="A448">
        <f t="shared" ca="1" si="43"/>
        <v>1</v>
      </c>
      <c r="C448">
        <f ca="1">COUNTIF(A$2:A448,1)</f>
        <v>64</v>
      </c>
      <c r="D448">
        <f ca="1">COUNTIF($A$2:$A448,2)</f>
        <v>84</v>
      </c>
      <c r="E448">
        <f ca="1">COUNTIF($A$2:$A448,3)</f>
        <v>73</v>
      </c>
      <c r="F448">
        <f ca="1">COUNTIF($A$2:$A448,4)</f>
        <v>80</v>
      </c>
      <c r="G448">
        <f ca="1">COUNTIF($A$2:$A448,5)</f>
        <v>78</v>
      </c>
      <c r="H448">
        <f ca="1">COUNTIF($A$2:$A448,6)</f>
        <v>68</v>
      </c>
      <c r="I448">
        <f t="shared" ca="1" si="44"/>
        <v>14.317673378076062</v>
      </c>
      <c r="J448">
        <f t="shared" ca="1" si="45"/>
        <v>18.791946308724832</v>
      </c>
      <c r="K448">
        <f t="shared" ca="1" si="46"/>
        <v>16.331096196868007</v>
      </c>
      <c r="L448">
        <f t="shared" ca="1" si="47"/>
        <v>17.897091722595079</v>
      </c>
      <c r="M448">
        <f t="shared" ca="1" si="48"/>
        <v>17.449664429530202</v>
      </c>
      <c r="N448">
        <f t="shared" ca="1" si="49"/>
        <v>15.212527964205815</v>
      </c>
    </row>
    <row r="449" spans="1:14" x14ac:dyDescent="0.3">
      <c r="A449">
        <f t="shared" ca="1" si="43"/>
        <v>3</v>
      </c>
      <c r="C449">
        <f ca="1">COUNTIF(A$2:A449,1)</f>
        <v>64</v>
      </c>
      <c r="D449">
        <f ca="1">COUNTIF($A$2:$A449,2)</f>
        <v>84</v>
      </c>
      <c r="E449">
        <f ca="1">COUNTIF($A$2:$A449,3)</f>
        <v>74</v>
      </c>
      <c r="F449">
        <f ca="1">COUNTIF($A$2:$A449,4)</f>
        <v>80</v>
      </c>
      <c r="G449">
        <f ca="1">COUNTIF($A$2:$A449,5)</f>
        <v>78</v>
      </c>
      <c r="H449">
        <f ca="1">COUNTIF($A$2:$A449,6)</f>
        <v>68</v>
      </c>
      <c r="I449">
        <f t="shared" ca="1" si="44"/>
        <v>14.285714285714285</v>
      </c>
      <c r="J449">
        <f t="shared" ca="1" si="45"/>
        <v>18.75</v>
      </c>
      <c r="K449">
        <f t="shared" ca="1" si="46"/>
        <v>16.517857142857142</v>
      </c>
      <c r="L449">
        <f t="shared" ca="1" si="47"/>
        <v>17.857142857142858</v>
      </c>
      <c r="M449">
        <f t="shared" ca="1" si="48"/>
        <v>17.410714285714285</v>
      </c>
      <c r="N449">
        <f t="shared" ca="1" si="49"/>
        <v>15.178571428571427</v>
      </c>
    </row>
    <row r="450" spans="1:14" x14ac:dyDescent="0.3">
      <c r="A450">
        <f t="shared" ca="1" si="43"/>
        <v>6</v>
      </c>
      <c r="C450">
        <f ca="1">COUNTIF(A$2:A450,1)</f>
        <v>64</v>
      </c>
      <c r="D450">
        <f ca="1">COUNTIF($A$2:$A450,2)</f>
        <v>84</v>
      </c>
      <c r="E450">
        <f ca="1">COUNTIF($A$2:$A450,3)</f>
        <v>74</v>
      </c>
      <c r="F450">
        <f ca="1">COUNTIF($A$2:$A450,4)</f>
        <v>80</v>
      </c>
      <c r="G450">
        <f ca="1">COUNTIF($A$2:$A450,5)</f>
        <v>78</v>
      </c>
      <c r="H450">
        <f ca="1">COUNTIF($A$2:$A450,6)</f>
        <v>69</v>
      </c>
      <c r="I450">
        <f t="shared" ca="1" si="44"/>
        <v>14.253897550111358</v>
      </c>
      <c r="J450">
        <f t="shared" ca="1" si="45"/>
        <v>18.70824053452116</v>
      </c>
      <c r="K450">
        <f t="shared" ca="1" si="46"/>
        <v>16.481069042316257</v>
      </c>
      <c r="L450">
        <f t="shared" ca="1" si="47"/>
        <v>17.817371937639198</v>
      </c>
      <c r="M450">
        <f t="shared" ca="1" si="48"/>
        <v>17.371937639198219</v>
      </c>
      <c r="N450">
        <f t="shared" ca="1" si="49"/>
        <v>15.367483296213807</v>
      </c>
    </row>
    <row r="451" spans="1:14" x14ac:dyDescent="0.3">
      <c r="A451">
        <f t="shared" ref="A451:A502" ca="1" si="50">ROUNDDOWN(RAND()*6+1,0)</f>
        <v>4</v>
      </c>
      <c r="C451">
        <f ca="1">COUNTIF(A$2:A451,1)</f>
        <v>64</v>
      </c>
      <c r="D451">
        <f ca="1">COUNTIF($A$2:$A451,2)</f>
        <v>84</v>
      </c>
      <c r="E451">
        <f ca="1">COUNTIF($A$2:$A451,3)</f>
        <v>74</v>
      </c>
      <c r="F451">
        <f ca="1">COUNTIF($A$2:$A451,4)</f>
        <v>81</v>
      </c>
      <c r="G451">
        <f ca="1">COUNTIF($A$2:$A451,5)</f>
        <v>78</v>
      </c>
      <c r="H451">
        <f ca="1">COUNTIF($A$2:$A451,6)</f>
        <v>69</v>
      </c>
      <c r="I451">
        <f t="shared" ref="I451:I501" ca="1" si="51">C451/(SUM($C451:$H451))*100</f>
        <v>14.222222222222221</v>
      </c>
      <c r="J451">
        <f t="shared" ref="J451:J501" ca="1" si="52">D451/(SUM($C451:$H451))*100</f>
        <v>18.666666666666668</v>
      </c>
      <c r="K451">
        <f t="shared" ref="K451:K501" ca="1" si="53">E451/(SUM($C451:$H451))*100</f>
        <v>16.444444444444446</v>
      </c>
      <c r="L451">
        <f t="shared" ref="L451:L501" ca="1" si="54">F451/(SUM($C451:$H451))*100</f>
        <v>18</v>
      </c>
      <c r="M451">
        <f t="shared" ref="M451:M501" ca="1" si="55">G451/(SUM($C451:$H451))*100</f>
        <v>17.333333333333336</v>
      </c>
      <c r="N451">
        <f t="shared" ref="N451:N501" ca="1" si="56">H451/(SUM($C451:$H451))*100</f>
        <v>15.333333333333332</v>
      </c>
    </row>
    <row r="452" spans="1:14" x14ac:dyDescent="0.3">
      <c r="A452">
        <f t="shared" ca="1" si="50"/>
        <v>6</v>
      </c>
      <c r="C452">
        <f ca="1">COUNTIF(A$2:A452,1)</f>
        <v>64</v>
      </c>
      <c r="D452">
        <f ca="1">COUNTIF($A$2:$A452,2)</f>
        <v>84</v>
      </c>
      <c r="E452">
        <f ca="1">COUNTIF($A$2:$A452,3)</f>
        <v>74</v>
      </c>
      <c r="F452">
        <f ca="1">COUNTIF($A$2:$A452,4)</f>
        <v>81</v>
      </c>
      <c r="G452">
        <f ca="1">COUNTIF($A$2:$A452,5)</f>
        <v>78</v>
      </c>
      <c r="H452">
        <f ca="1">COUNTIF($A$2:$A452,6)</f>
        <v>70</v>
      </c>
      <c r="I452">
        <f t="shared" ca="1" si="51"/>
        <v>14.190687361419069</v>
      </c>
      <c r="J452">
        <f t="shared" ca="1" si="52"/>
        <v>18.625277161862527</v>
      </c>
      <c r="K452">
        <f t="shared" ca="1" si="53"/>
        <v>16.4079822616408</v>
      </c>
      <c r="L452">
        <f t="shared" ca="1" si="54"/>
        <v>17.96008869179601</v>
      </c>
      <c r="M452">
        <f t="shared" ca="1" si="55"/>
        <v>17.294900221729488</v>
      </c>
      <c r="N452">
        <f t="shared" ca="1" si="56"/>
        <v>15.521064301552107</v>
      </c>
    </row>
    <row r="453" spans="1:14" x14ac:dyDescent="0.3">
      <c r="A453">
        <f t="shared" ca="1" si="50"/>
        <v>2</v>
      </c>
      <c r="C453">
        <f ca="1">COUNTIF(A$2:A453,1)</f>
        <v>64</v>
      </c>
      <c r="D453">
        <f ca="1">COUNTIF($A$2:$A453,2)</f>
        <v>85</v>
      </c>
      <c r="E453">
        <f ca="1">COUNTIF($A$2:$A453,3)</f>
        <v>74</v>
      </c>
      <c r="F453">
        <f ca="1">COUNTIF($A$2:$A453,4)</f>
        <v>81</v>
      </c>
      <c r="G453">
        <f ca="1">COUNTIF($A$2:$A453,5)</f>
        <v>78</v>
      </c>
      <c r="H453">
        <f ca="1">COUNTIF($A$2:$A453,6)</f>
        <v>70</v>
      </c>
      <c r="I453">
        <f t="shared" ca="1" si="51"/>
        <v>14.159292035398231</v>
      </c>
      <c r="J453">
        <f t="shared" ca="1" si="52"/>
        <v>18.805309734513273</v>
      </c>
      <c r="K453">
        <f t="shared" ca="1" si="53"/>
        <v>16.371681415929203</v>
      </c>
      <c r="L453">
        <f t="shared" ca="1" si="54"/>
        <v>17.920353982300885</v>
      </c>
      <c r="M453">
        <f t="shared" ca="1" si="55"/>
        <v>17.256637168141591</v>
      </c>
      <c r="N453">
        <f t="shared" ca="1" si="56"/>
        <v>15.486725663716813</v>
      </c>
    </row>
    <row r="454" spans="1:14" x14ac:dyDescent="0.3">
      <c r="A454">
        <f t="shared" ca="1" si="50"/>
        <v>3</v>
      </c>
      <c r="C454">
        <f ca="1">COUNTIF(A$2:A454,1)</f>
        <v>64</v>
      </c>
      <c r="D454">
        <f ca="1">COUNTIF($A$2:$A454,2)</f>
        <v>85</v>
      </c>
      <c r="E454">
        <f ca="1">COUNTIF($A$2:$A454,3)</f>
        <v>75</v>
      </c>
      <c r="F454">
        <f ca="1">COUNTIF($A$2:$A454,4)</f>
        <v>81</v>
      </c>
      <c r="G454">
        <f ca="1">COUNTIF($A$2:$A454,5)</f>
        <v>78</v>
      </c>
      <c r="H454">
        <f ca="1">COUNTIF($A$2:$A454,6)</f>
        <v>70</v>
      </c>
      <c r="I454">
        <f t="shared" ca="1" si="51"/>
        <v>14.1280353200883</v>
      </c>
      <c r="J454">
        <f t="shared" ca="1" si="52"/>
        <v>18.763796909492271</v>
      </c>
      <c r="K454">
        <f t="shared" ca="1" si="53"/>
        <v>16.556291390728479</v>
      </c>
      <c r="L454">
        <f t="shared" ca="1" si="54"/>
        <v>17.880794701986755</v>
      </c>
      <c r="M454">
        <f t="shared" ca="1" si="55"/>
        <v>17.218543046357617</v>
      </c>
      <c r="N454">
        <f t="shared" ca="1" si="56"/>
        <v>15.452538631346579</v>
      </c>
    </row>
    <row r="455" spans="1:14" x14ac:dyDescent="0.3">
      <c r="A455">
        <f t="shared" ca="1" si="50"/>
        <v>3</v>
      </c>
      <c r="C455">
        <f ca="1">COUNTIF(A$2:A455,1)</f>
        <v>64</v>
      </c>
      <c r="D455">
        <f ca="1">COUNTIF($A$2:$A455,2)</f>
        <v>85</v>
      </c>
      <c r="E455">
        <f ca="1">COUNTIF($A$2:$A455,3)</f>
        <v>76</v>
      </c>
      <c r="F455">
        <f ca="1">COUNTIF($A$2:$A455,4)</f>
        <v>81</v>
      </c>
      <c r="G455">
        <f ca="1">COUNTIF($A$2:$A455,5)</f>
        <v>78</v>
      </c>
      <c r="H455">
        <f ca="1">COUNTIF($A$2:$A455,6)</f>
        <v>70</v>
      </c>
      <c r="I455">
        <f t="shared" ca="1" si="51"/>
        <v>14.096916299559473</v>
      </c>
      <c r="J455">
        <f t="shared" ca="1" si="52"/>
        <v>18.722466960352424</v>
      </c>
      <c r="K455">
        <f t="shared" ca="1" si="53"/>
        <v>16.740088105726873</v>
      </c>
      <c r="L455">
        <f t="shared" ca="1" si="54"/>
        <v>17.841409691629956</v>
      </c>
      <c r="M455">
        <f t="shared" ca="1" si="55"/>
        <v>17.180616740088105</v>
      </c>
      <c r="N455">
        <f t="shared" ca="1" si="56"/>
        <v>15.418502202643172</v>
      </c>
    </row>
    <row r="456" spans="1:14" x14ac:dyDescent="0.3">
      <c r="A456">
        <f t="shared" ca="1" si="50"/>
        <v>1</v>
      </c>
      <c r="C456">
        <f ca="1">COUNTIF(A$2:A456,1)</f>
        <v>65</v>
      </c>
      <c r="D456">
        <f ca="1">COUNTIF($A$2:$A456,2)</f>
        <v>85</v>
      </c>
      <c r="E456">
        <f ca="1">COUNTIF($A$2:$A456,3)</f>
        <v>76</v>
      </c>
      <c r="F456">
        <f ca="1">COUNTIF($A$2:$A456,4)</f>
        <v>81</v>
      </c>
      <c r="G456">
        <f ca="1">COUNTIF($A$2:$A456,5)</f>
        <v>78</v>
      </c>
      <c r="H456">
        <f ca="1">COUNTIF($A$2:$A456,6)</f>
        <v>70</v>
      </c>
      <c r="I456">
        <f t="shared" ca="1" si="51"/>
        <v>14.285714285714285</v>
      </c>
      <c r="J456">
        <f t="shared" ca="1" si="52"/>
        <v>18.681318681318682</v>
      </c>
      <c r="K456">
        <f t="shared" ca="1" si="53"/>
        <v>16.703296703296701</v>
      </c>
      <c r="L456">
        <f t="shared" ca="1" si="54"/>
        <v>17.802197802197803</v>
      </c>
      <c r="M456">
        <f t="shared" ca="1" si="55"/>
        <v>17.142857142857142</v>
      </c>
      <c r="N456">
        <f t="shared" ca="1" si="56"/>
        <v>15.384615384615385</v>
      </c>
    </row>
    <row r="457" spans="1:14" x14ac:dyDescent="0.3">
      <c r="A457">
        <f t="shared" ca="1" si="50"/>
        <v>3</v>
      </c>
      <c r="C457">
        <f ca="1">COUNTIF(A$2:A457,1)</f>
        <v>65</v>
      </c>
      <c r="D457">
        <f ca="1">COUNTIF($A$2:$A457,2)</f>
        <v>85</v>
      </c>
      <c r="E457">
        <f ca="1">COUNTIF($A$2:$A457,3)</f>
        <v>77</v>
      </c>
      <c r="F457">
        <f ca="1">COUNTIF($A$2:$A457,4)</f>
        <v>81</v>
      </c>
      <c r="G457">
        <f ca="1">COUNTIF($A$2:$A457,5)</f>
        <v>78</v>
      </c>
      <c r="H457">
        <f ca="1">COUNTIF($A$2:$A457,6)</f>
        <v>70</v>
      </c>
      <c r="I457">
        <f t="shared" ca="1" si="51"/>
        <v>14.254385964912281</v>
      </c>
      <c r="J457">
        <f t="shared" ca="1" si="52"/>
        <v>18.640350877192983</v>
      </c>
      <c r="K457">
        <f t="shared" ca="1" si="53"/>
        <v>16.885964912280702</v>
      </c>
      <c r="L457">
        <f t="shared" ca="1" si="54"/>
        <v>17.763157894736842</v>
      </c>
      <c r="M457">
        <f t="shared" ca="1" si="55"/>
        <v>17.105263157894736</v>
      </c>
      <c r="N457">
        <f t="shared" ca="1" si="56"/>
        <v>15.350877192982457</v>
      </c>
    </row>
    <row r="458" spans="1:14" x14ac:dyDescent="0.3">
      <c r="A458">
        <f t="shared" ca="1" si="50"/>
        <v>1</v>
      </c>
      <c r="C458">
        <f ca="1">COUNTIF(A$2:A458,1)</f>
        <v>66</v>
      </c>
      <c r="D458">
        <f ca="1">COUNTIF($A$2:$A458,2)</f>
        <v>85</v>
      </c>
      <c r="E458">
        <f ca="1">COUNTIF($A$2:$A458,3)</f>
        <v>77</v>
      </c>
      <c r="F458">
        <f ca="1">COUNTIF($A$2:$A458,4)</f>
        <v>81</v>
      </c>
      <c r="G458">
        <f ca="1">COUNTIF($A$2:$A458,5)</f>
        <v>78</v>
      </c>
      <c r="H458">
        <f ca="1">COUNTIF($A$2:$A458,6)</f>
        <v>70</v>
      </c>
      <c r="I458">
        <f t="shared" ca="1" si="51"/>
        <v>14.442013129102845</v>
      </c>
      <c r="J458">
        <f t="shared" ca="1" si="52"/>
        <v>18.599562363238512</v>
      </c>
      <c r="K458">
        <f t="shared" ca="1" si="53"/>
        <v>16.849015317286653</v>
      </c>
      <c r="L458">
        <f t="shared" ca="1" si="54"/>
        <v>17.724288840262581</v>
      </c>
      <c r="M458">
        <f t="shared" ca="1" si="55"/>
        <v>17.067833698030636</v>
      </c>
      <c r="N458">
        <f t="shared" ca="1" si="56"/>
        <v>15.317286652078774</v>
      </c>
    </row>
    <row r="459" spans="1:14" x14ac:dyDescent="0.3">
      <c r="A459">
        <f t="shared" ca="1" si="50"/>
        <v>5</v>
      </c>
      <c r="C459">
        <f ca="1">COUNTIF(A$2:A459,1)</f>
        <v>66</v>
      </c>
      <c r="D459">
        <f ca="1">COUNTIF($A$2:$A459,2)</f>
        <v>85</v>
      </c>
      <c r="E459">
        <f ca="1">COUNTIF($A$2:$A459,3)</f>
        <v>77</v>
      </c>
      <c r="F459">
        <f ca="1">COUNTIF($A$2:$A459,4)</f>
        <v>81</v>
      </c>
      <c r="G459">
        <f ca="1">COUNTIF($A$2:$A459,5)</f>
        <v>79</v>
      </c>
      <c r="H459">
        <f ca="1">COUNTIF($A$2:$A459,6)</f>
        <v>70</v>
      </c>
      <c r="I459">
        <f t="shared" ca="1" si="51"/>
        <v>14.410480349344979</v>
      </c>
      <c r="J459">
        <f t="shared" ca="1" si="52"/>
        <v>18.5589519650655</v>
      </c>
      <c r="K459">
        <f t="shared" ca="1" si="53"/>
        <v>16.812227074235807</v>
      </c>
      <c r="L459">
        <f t="shared" ca="1" si="54"/>
        <v>17.685589519650655</v>
      </c>
      <c r="M459">
        <f t="shared" ca="1" si="55"/>
        <v>17.248908296943235</v>
      </c>
      <c r="N459">
        <f t="shared" ca="1" si="56"/>
        <v>15.283842794759824</v>
      </c>
    </row>
    <row r="460" spans="1:14" x14ac:dyDescent="0.3">
      <c r="A460">
        <f t="shared" ca="1" si="50"/>
        <v>2</v>
      </c>
      <c r="C460">
        <f ca="1">COUNTIF(A$2:A460,1)</f>
        <v>66</v>
      </c>
      <c r="D460">
        <f ca="1">COUNTIF($A$2:$A460,2)</f>
        <v>86</v>
      </c>
      <c r="E460">
        <f ca="1">COUNTIF($A$2:$A460,3)</f>
        <v>77</v>
      </c>
      <c r="F460">
        <f ca="1">COUNTIF($A$2:$A460,4)</f>
        <v>81</v>
      </c>
      <c r="G460">
        <f ca="1">COUNTIF($A$2:$A460,5)</f>
        <v>79</v>
      </c>
      <c r="H460">
        <f ca="1">COUNTIF($A$2:$A460,6)</f>
        <v>70</v>
      </c>
      <c r="I460">
        <f t="shared" ca="1" si="51"/>
        <v>14.37908496732026</v>
      </c>
      <c r="J460">
        <f t="shared" ca="1" si="52"/>
        <v>18.736383442265794</v>
      </c>
      <c r="K460">
        <f t="shared" ca="1" si="53"/>
        <v>16.775599128540307</v>
      </c>
      <c r="L460">
        <f t="shared" ca="1" si="54"/>
        <v>17.647058823529413</v>
      </c>
      <c r="M460">
        <f t="shared" ca="1" si="55"/>
        <v>17.21132897603486</v>
      </c>
      <c r="N460">
        <f t="shared" ca="1" si="56"/>
        <v>15.250544662309368</v>
      </c>
    </row>
    <row r="461" spans="1:14" x14ac:dyDescent="0.3">
      <c r="A461">
        <f t="shared" ca="1" si="50"/>
        <v>5</v>
      </c>
      <c r="C461">
        <f ca="1">COUNTIF(A$2:A461,1)</f>
        <v>66</v>
      </c>
      <c r="D461">
        <f ca="1">COUNTIF($A$2:$A461,2)</f>
        <v>86</v>
      </c>
      <c r="E461">
        <f ca="1">COUNTIF($A$2:$A461,3)</f>
        <v>77</v>
      </c>
      <c r="F461">
        <f ca="1">COUNTIF($A$2:$A461,4)</f>
        <v>81</v>
      </c>
      <c r="G461">
        <f ca="1">COUNTIF($A$2:$A461,5)</f>
        <v>80</v>
      </c>
      <c r="H461">
        <f ca="1">COUNTIF($A$2:$A461,6)</f>
        <v>70</v>
      </c>
      <c r="I461">
        <f t="shared" ca="1" si="51"/>
        <v>14.347826086956522</v>
      </c>
      <c r="J461">
        <f t="shared" ca="1" si="52"/>
        <v>18.695652173913043</v>
      </c>
      <c r="K461">
        <f t="shared" ca="1" si="53"/>
        <v>16.739130434782609</v>
      </c>
      <c r="L461">
        <f t="shared" ca="1" si="54"/>
        <v>17.608695652173914</v>
      </c>
      <c r="M461">
        <f t="shared" ca="1" si="55"/>
        <v>17.391304347826086</v>
      </c>
      <c r="N461">
        <f t="shared" ca="1" si="56"/>
        <v>15.217391304347828</v>
      </c>
    </row>
    <row r="462" spans="1:14" x14ac:dyDescent="0.3">
      <c r="A462">
        <f t="shared" ca="1" si="50"/>
        <v>1</v>
      </c>
      <c r="C462">
        <f ca="1">COUNTIF(A$2:A462,1)</f>
        <v>67</v>
      </c>
      <c r="D462">
        <f ca="1">COUNTIF($A$2:$A462,2)</f>
        <v>86</v>
      </c>
      <c r="E462">
        <f ca="1">COUNTIF($A$2:$A462,3)</f>
        <v>77</v>
      </c>
      <c r="F462">
        <f ca="1">COUNTIF($A$2:$A462,4)</f>
        <v>81</v>
      </c>
      <c r="G462">
        <f ca="1">COUNTIF($A$2:$A462,5)</f>
        <v>80</v>
      </c>
      <c r="H462">
        <f ca="1">COUNTIF($A$2:$A462,6)</f>
        <v>70</v>
      </c>
      <c r="I462">
        <f t="shared" ca="1" si="51"/>
        <v>14.533622559652928</v>
      </c>
      <c r="J462">
        <f t="shared" ca="1" si="52"/>
        <v>18.655097613882862</v>
      </c>
      <c r="K462">
        <f t="shared" ca="1" si="53"/>
        <v>16.702819956616054</v>
      </c>
      <c r="L462">
        <f t="shared" ca="1" si="54"/>
        <v>17.570498915401302</v>
      </c>
      <c r="M462">
        <f t="shared" ca="1" si="55"/>
        <v>17.35357917570499</v>
      </c>
      <c r="N462">
        <f t="shared" ca="1" si="56"/>
        <v>15.184381778741866</v>
      </c>
    </row>
    <row r="463" spans="1:14" x14ac:dyDescent="0.3">
      <c r="A463">
        <f t="shared" ca="1" si="50"/>
        <v>1</v>
      </c>
      <c r="C463">
        <f ca="1">COUNTIF(A$2:A463,1)</f>
        <v>68</v>
      </c>
      <c r="D463">
        <f ca="1">COUNTIF($A$2:$A463,2)</f>
        <v>86</v>
      </c>
      <c r="E463">
        <f ca="1">COUNTIF($A$2:$A463,3)</f>
        <v>77</v>
      </c>
      <c r="F463">
        <f ca="1">COUNTIF($A$2:$A463,4)</f>
        <v>81</v>
      </c>
      <c r="G463">
        <f ca="1">COUNTIF($A$2:$A463,5)</f>
        <v>80</v>
      </c>
      <c r="H463">
        <f ca="1">COUNTIF($A$2:$A463,6)</f>
        <v>70</v>
      </c>
      <c r="I463">
        <f t="shared" ca="1" si="51"/>
        <v>14.71861471861472</v>
      </c>
      <c r="J463">
        <f t="shared" ca="1" si="52"/>
        <v>18.614718614718615</v>
      </c>
      <c r="K463">
        <f t="shared" ca="1" si="53"/>
        <v>16.666666666666664</v>
      </c>
      <c r="L463">
        <f t="shared" ca="1" si="54"/>
        <v>17.532467532467532</v>
      </c>
      <c r="M463">
        <f t="shared" ca="1" si="55"/>
        <v>17.316017316017316</v>
      </c>
      <c r="N463">
        <f t="shared" ca="1" si="56"/>
        <v>15.151515151515152</v>
      </c>
    </row>
    <row r="464" spans="1:14" x14ac:dyDescent="0.3">
      <c r="A464">
        <f t="shared" ca="1" si="50"/>
        <v>1</v>
      </c>
      <c r="C464">
        <f ca="1">COUNTIF(A$2:A464,1)</f>
        <v>69</v>
      </c>
      <c r="D464">
        <f ca="1">COUNTIF($A$2:$A464,2)</f>
        <v>86</v>
      </c>
      <c r="E464">
        <f ca="1">COUNTIF($A$2:$A464,3)</f>
        <v>77</v>
      </c>
      <c r="F464">
        <f ca="1">COUNTIF($A$2:$A464,4)</f>
        <v>81</v>
      </c>
      <c r="G464">
        <f ca="1">COUNTIF($A$2:$A464,5)</f>
        <v>80</v>
      </c>
      <c r="H464">
        <f ca="1">COUNTIF($A$2:$A464,6)</f>
        <v>70</v>
      </c>
      <c r="I464">
        <f t="shared" ca="1" si="51"/>
        <v>14.902807775377969</v>
      </c>
      <c r="J464">
        <f t="shared" ca="1" si="52"/>
        <v>18.574514038876892</v>
      </c>
      <c r="K464">
        <f t="shared" ca="1" si="53"/>
        <v>16.630669546436287</v>
      </c>
      <c r="L464">
        <f t="shared" ca="1" si="54"/>
        <v>17.494600431965441</v>
      </c>
      <c r="M464">
        <f t="shared" ca="1" si="55"/>
        <v>17.278617710583152</v>
      </c>
      <c r="N464">
        <f t="shared" ca="1" si="56"/>
        <v>15.118790496760258</v>
      </c>
    </row>
    <row r="465" spans="1:14" x14ac:dyDescent="0.3">
      <c r="A465">
        <f t="shared" ca="1" si="50"/>
        <v>2</v>
      </c>
      <c r="C465">
        <f ca="1">COUNTIF(A$2:A465,1)</f>
        <v>69</v>
      </c>
      <c r="D465">
        <f ca="1">COUNTIF($A$2:$A465,2)</f>
        <v>87</v>
      </c>
      <c r="E465">
        <f ca="1">COUNTIF($A$2:$A465,3)</f>
        <v>77</v>
      </c>
      <c r="F465">
        <f ca="1">COUNTIF($A$2:$A465,4)</f>
        <v>81</v>
      </c>
      <c r="G465">
        <f ca="1">COUNTIF($A$2:$A465,5)</f>
        <v>80</v>
      </c>
      <c r="H465">
        <f ca="1">COUNTIF($A$2:$A465,6)</f>
        <v>70</v>
      </c>
      <c r="I465">
        <f t="shared" ca="1" si="51"/>
        <v>14.870689655172415</v>
      </c>
      <c r="J465">
        <f t="shared" ca="1" si="52"/>
        <v>18.75</v>
      </c>
      <c r="K465">
        <f t="shared" ca="1" si="53"/>
        <v>16.594827586206897</v>
      </c>
      <c r="L465">
        <f t="shared" ca="1" si="54"/>
        <v>17.456896551724139</v>
      </c>
      <c r="M465">
        <f t="shared" ca="1" si="55"/>
        <v>17.241379310344829</v>
      </c>
      <c r="N465">
        <f t="shared" ca="1" si="56"/>
        <v>15.086206896551724</v>
      </c>
    </row>
    <row r="466" spans="1:14" x14ac:dyDescent="0.3">
      <c r="A466">
        <f t="shared" ca="1" si="50"/>
        <v>3</v>
      </c>
      <c r="C466">
        <f ca="1">COUNTIF(A$2:A466,1)</f>
        <v>69</v>
      </c>
      <c r="D466">
        <f ca="1">COUNTIF($A$2:$A466,2)</f>
        <v>87</v>
      </c>
      <c r="E466">
        <f ca="1">COUNTIF($A$2:$A466,3)</f>
        <v>78</v>
      </c>
      <c r="F466">
        <f ca="1">COUNTIF($A$2:$A466,4)</f>
        <v>81</v>
      </c>
      <c r="G466">
        <f ca="1">COUNTIF($A$2:$A466,5)</f>
        <v>80</v>
      </c>
      <c r="H466">
        <f ca="1">COUNTIF($A$2:$A466,6)</f>
        <v>70</v>
      </c>
      <c r="I466">
        <f t="shared" ca="1" si="51"/>
        <v>14.838709677419354</v>
      </c>
      <c r="J466">
        <f t="shared" ca="1" si="52"/>
        <v>18.70967741935484</v>
      </c>
      <c r="K466">
        <f t="shared" ca="1" si="53"/>
        <v>16.7741935483871</v>
      </c>
      <c r="L466">
        <f t="shared" ca="1" si="54"/>
        <v>17.419354838709676</v>
      </c>
      <c r="M466">
        <f t="shared" ca="1" si="55"/>
        <v>17.20430107526882</v>
      </c>
      <c r="N466">
        <f t="shared" ca="1" si="56"/>
        <v>15.053763440860216</v>
      </c>
    </row>
    <row r="467" spans="1:14" x14ac:dyDescent="0.3">
      <c r="A467">
        <f t="shared" ca="1" si="50"/>
        <v>5</v>
      </c>
      <c r="C467">
        <f ca="1">COUNTIF(A$2:A467,1)</f>
        <v>69</v>
      </c>
      <c r="D467">
        <f ca="1">COUNTIF($A$2:$A467,2)</f>
        <v>87</v>
      </c>
      <c r="E467">
        <f ca="1">COUNTIF($A$2:$A467,3)</f>
        <v>78</v>
      </c>
      <c r="F467">
        <f ca="1">COUNTIF($A$2:$A467,4)</f>
        <v>81</v>
      </c>
      <c r="G467">
        <f ca="1">COUNTIF($A$2:$A467,5)</f>
        <v>81</v>
      </c>
      <c r="H467">
        <f ca="1">COUNTIF($A$2:$A467,6)</f>
        <v>70</v>
      </c>
      <c r="I467">
        <f t="shared" ca="1" si="51"/>
        <v>14.806866952789699</v>
      </c>
      <c r="J467">
        <f t="shared" ca="1" si="52"/>
        <v>18.669527896995707</v>
      </c>
      <c r="K467">
        <f t="shared" ca="1" si="53"/>
        <v>16.738197424892704</v>
      </c>
      <c r="L467">
        <f t="shared" ca="1" si="54"/>
        <v>17.381974248927037</v>
      </c>
      <c r="M467">
        <f t="shared" ca="1" si="55"/>
        <v>17.381974248927037</v>
      </c>
      <c r="N467">
        <f t="shared" ca="1" si="56"/>
        <v>15.021459227467812</v>
      </c>
    </row>
    <row r="468" spans="1:14" x14ac:dyDescent="0.3">
      <c r="A468">
        <f t="shared" ca="1" si="50"/>
        <v>3</v>
      </c>
      <c r="C468">
        <f ca="1">COUNTIF(A$2:A468,1)</f>
        <v>69</v>
      </c>
      <c r="D468">
        <f ca="1">COUNTIF($A$2:$A468,2)</f>
        <v>87</v>
      </c>
      <c r="E468">
        <f ca="1">COUNTIF($A$2:$A468,3)</f>
        <v>79</v>
      </c>
      <c r="F468">
        <f ca="1">COUNTIF($A$2:$A468,4)</f>
        <v>81</v>
      </c>
      <c r="G468">
        <f ca="1">COUNTIF($A$2:$A468,5)</f>
        <v>81</v>
      </c>
      <c r="H468">
        <f ca="1">COUNTIF($A$2:$A468,6)</f>
        <v>70</v>
      </c>
      <c r="I468">
        <f t="shared" ca="1" si="51"/>
        <v>14.775160599571734</v>
      </c>
      <c r="J468">
        <f t="shared" ca="1" si="52"/>
        <v>18.629550321199144</v>
      </c>
      <c r="K468">
        <f t="shared" ca="1" si="53"/>
        <v>16.916488222698074</v>
      </c>
      <c r="L468">
        <f t="shared" ca="1" si="54"/>
        <v>17.344753747323342</v>
      </c>
      <c r="M468">
        <f t="shared" ca="1" si="55"/>
        <v>17.344753747323342</v>
      </c>
      <c r="N468">
        <f t="shared" ca="1" si="56"/>
        <v>14.989293361884368</v>
      </c>
    </row>
    <row r="469" spans="1:14" x14ac:dyDescent="0.3">
      <c r="A469">
        <f t="shared" ca="1" si="50"/>
        <v>6</v>
      </c>
      <c r="C469">
        <f ca="1">COUNTIF(A$2:A469,1)</f>
        <v>69</v>
      </c>
      <c r="D469">
        <f ca="1">COUNTIF($A$2:$A469,2)</f>
        <v>87</v>
      </c>
      <c r="E469">
        <f ca="1">COUNTIF($A$2:$A469,3)</f>
        <v>79</v>
      </c>
      <c r="F469">
        <f ca="1">COUNTIF($A$2:$A469,4)</f>
        <v>81</v>
      </c>
      <c r="G469">
        <f ca="1">COUNTIF($A$2:$A469,5)</f>
        <v>81</v>
      </c>
      <c r="H469">
        <f ca="1">COUNTIF($A$2:$A469,6)</f>
        <v>71</v>
      </c>
      <c r="I469">
        <f t="shared" ca="1" si="51"/>
        <v>14.743589743589745</v>
      </c>
      <c r="J469">
        <f t="shared" ca="1" si="52"/>
        <v>18.589743589743591</v>
      </c>
      <c r="K469">
        <f t="shared" ca="1" si="53"/>
        <v>16.880341880341881</v>
      </c>
      <c r="L469">
        <f t="shared" ca="1" si="54"/>
        <v>17.307692307692307</v>
      </c>
      <c r="M469">
        <f t="shared" ca="1" si="55"/>
        <v>17.307692307692307</v>
      </c>
      <c r="N469">
        <f t="shared" ca="1" si="56"/>
        <v>15.17094017094017</v>
      </c>
    </row>
    <row r="470" spans="1:14" x14ac:dyDescent="0.3">
      <c r="A470">
        <f t="shared" ca="1" si="50"/>
        <v>4</v>
      </c>
      <c r="C470">
        <f ca="1">COUNTIF(A$2:A470,1)</f>
        <v>69</v>
      </c>
      <c r="D470">
        <f ca="1">COUNTIF($A$2:$A470,2)</f>
        <v>87</v>
      </c>
      <c r="E470">
        <f ca="1">COUNTIF($A$2:$A470,3)</f>
        <v>79</v>
      </c>
      <c r="F470">
        <f ca="1">COUNTIF($A$2:$A470,4)</f>
        <v>82</v>
      </c>
      <c r="G470">
        <f ca="1">COUNTIF($A$2:$A470,5)</f>
        <v>81</v>
      </c>
      <c r="H470">
        <f ca="1">COUNTIF($A$2:$A470,6)</f>
        <v>71</v>
      </c>
      <c r="I470">
        <f t="shared" ca="1" si="51"/>
        <v>14.712153518123666</v>
      </c>
      <c r="J470">
        <f t="shared" ca="1" si="52"/>
        <v>18.550106609808104</v>
      </c>
      <c r="K470">
        <f t="shared" ca="1" si="53"/>
        <v>16.844349680170577</v>
      </c>
      <c r="L470">
        <f t="shared" ca="1" si="54"/>
        <v>17.484008528784649</v>
      </c>
      <c r="M470">
        <f t="shared" ca="1" si="55"/>
        <v>17.270788912579956</v>
      </c>
      <c r="N470">
        <f t="shared" ca="1" si="56"/>
        <v>15.13859275053305</v>
      </c>
    </row>
    <row r="471" spans="1:14" x14ac:dyDescent="0.3">
      <c r="A471">
        <f t="shared" ca="1" si="50"/>
        <v>5</v>
      </c>
      <c r="C471">
        <f ca="1">COUNTIF(A$2:A471,1)</f>
        <v>69</v>
      </c>
      <c r="D471">
        <f ca="1">COUNTIF($A$2:$A471,2)</f>
        <v>87</v>
      </c>
      <c r="E471">
        <f ca="1">COUNTIF($A$2:$A471,3)</f>
        <v>79</v>
      </c>
      <c r="F471">
        <f ca="1">COUNTIF($A$2:$A471,4)</f>
        <v>82</v>
      </c>
      <c r="G471">
        <f ca="1">COUNTIF($A$2:$A471,5)</f>
        <v>82</v>
      </c>
      <c r="H471">
        <f ca="1">COUNTIF($A$2:$A471,6)</f>
        <v>71</v>
      </c>
      <c r="I471">
        <f t="shared" ca="1" si="51"/>
        <v>14.680851063829786</v>
      </c>
      <c r="J471">
        <f t="shared" ca="1" si="52"/>
        <v>18.51063829787234</v>
      </c>
      <c r="K471">
        <f t="shared" ca="1" si="53"/>
        <v>16.808510638297872</v>
      </c>
      <c r="L471">
        <f t="shared" ca="1" si="54"/>
        <v>17.446808510638299</v>
      </c>
      <c r="M471">
        <f t="shared" ca="1" si="55"/>
        <v>17.446808510638299</v>
      </c>
      <c r="N471">
        <f t="shared" ca="1" si="56"/>
        <v>15.106382978723405</v>
      </c>
    </row>
    <row r="472" spans="1:14" x14ac:dyDescent="0.3">
      <c r="A472">
        <f t="shared" ca="1" si="50"/>
        <v>6</v>
      </c>
      <c r="C472">
        <f ca="1">COUNTIF(A$2:A472,1)</f>
        <v>69</v>
      </c>
      <c r="D472">
        <f ca="1">COUNTIF($A$2:$A472,2)</f>
        <v>87</v>
      </c>
      <c r="E472">
        <f ca="1">COUNTIF($A$2:$A472,3)</f>
        <v>79</v>
      </c>
      <c r="F472">
        <f ca="1">COUNTIF($A$2:$A472,4)</f>
        <v>82</v>
      </c>
      <c r="G472">
        <f ca="1">COUNTIF($A$2:$A472,5)</f>
        <v>82</v>
      </c>
      <c r="H472">
        <f ca="1">COUNTIF($A$2:$A472,6)</f>
        <v>72</v>
      </c>
      <c r="I472">
        <f t="shared" ca="1" si="51"/>
        <v>14.64968152866242</v>
      </c>
      <c r="J472">
        <f t="shared" ca="1" si="52"/>
        <v>18.471337579617835</v>
      </c>
      <c r="K472">
        <f t="shared" ca="1" si="53"/>
        <v>16.772823779193207</v>
      </c>
      <c r="L472">
        <f t="shared" ca="1" si="54"/>
        <v>17.40976645435244</v>
      </c>
      <c r="M472">
        <f t="shared" ca="1" si="55"/>
        <v>17.40976645435244</v>
      </c>
      <c r="N472">
        <f t="shared" ca="1" si="56"/>
        <v>15.286624203821656</v>
      </c>
    </row>
    <row r="473" spans="1:14" x14ac:dyDescent="0.3">
      <c r="A473">
        <f t="shared" ca="1" si="50"/>
        <v>3</v>
      </c>
      <c r="C473">
        <f ca="1">COUNTIF(A$2:A473,1)</f>
        <v>69</v>
      </c>
      <c r="D473">
        <f ca="1">COUNTIF($A$2:$A473,2)</f>
        <v>87</v>
      </c>
      <c r="E473">
        <f ca="1">COUNTIF($A$2:$A473,3)</f>
        <v>80</v>
      </c>
      <c r="F473">
        <f ca="1">COUNTIF($A$2:$A473,4)</f>
        <v>82</v>
      </c>
      <c r="G473">
        <f ca="1">COUNTIF($A$2:$A473,5)</f>
        <v>82</v>
      </c>
      <c r="H473">
        <f ca="1">COUNTIF($A$2:$A473,6)</f>
        <v>72</v>
      </c>
      <c r="I473">
        <f t="shared" ca="1" si="51"/>
        <v>14.618644067796611</v>
      </c>
      <c r="J473">
        <f t="shared" ca="1" si="52"/>
        <v>18.432203389830509</v>
      </c>
      <c r="K473">
        <f t="shared" ca="1" si="53"/>
        <v>16.949152542372879</v>
      </c>
      <c r="L473">
        <f t="shared" ca="1" si="54"/>
        <v>17.372881355932204</v>
      </c>
      <c r="M473">
        <f t="shared" ca="1" si="55"/>
        <v>17.372881355932204</v>
      </c>
      <c r="N473">
        <f t="shared" ca="1" si="56"/>
        <v>15.254237288135593</v>
      </c>
    </row>
    <row r="474" spans="1:14" x14ac:dyDescent="0.3">
      <c r="A474">
        <f t="shared" ca="1" si="50"/>
        <v>1</v>
      </c>
      <c r="C474">
        <f ca="1">COUNTIF(A$2:A474,1)</f>
        <v>70</v>
      </c>
      <c r="D474">
        <f ca="1">COUNTIF($A$2:$A474,2)</f>
        <v>87</v>
      </c>
      <c r="E474">
        <f ca="1">COUNTIF($A$2:$A474,3)</f>
        <v>80</v>
      </c>
      <c r="F474">
        <f ca="1">COUNTIF($A$2:$A474,4)</f>
        <v>82</v>
      </c>
      <c r="G474">
        <f ca="1">COUNTIF($A$2:$A474,5)</f>
        <v>82</v>
      </c>
      <c r="H474">
        <f ca="1">COUNTIF($A$2:$A474,6)</f>
        <v>72</v>
      </c>
      <c r="I474">
        <f t="shared" ca="1" si="51"/>
        <v>14.799154334038056</v>
      </c>
      <c r="J474">
        <f t="shared" ca="1" si="52"/>
        <v>18.393234672304441</v>
      </c>
      <c r="K474">
        <f t="shared" ca="1" si="53"/>
        <v>16.913319238900634</v>
      </c>
      <c r="L474">
        <f t="shared" ca="1" si="54"/>
        <v>17.336152219873149</v>
      </c>
      <c r="M474">
        <f t="shared" ca="1" si="55"/>
        <v>17.336152219873149</v>
      </c>
      <c r="N474">
        <f t="shared" ca="1" si="56"/>
        <v>15.221987315010571</v>
      </c>
    </row>
    <row r="475" spans="1:14" x14ac:dyDescent="0.3">
      <c r="A475">
        <f t="shared" ca="1" si="50"/>
        <v>6</v>
      </c>
      <c r="C475">
        <f ca="1">COUNTIF(A$2:A475,1)</f>
        <v>70</v>
      </c>
      <c r="D475">
        <f ca="1">COUNTIF($A$2:$A475,2)</f>
        <v>87</v>
      </c>
      <c r="E475">
        <f ca="1">COUNTIF($A$2:$A475,3)</f>
        <v>80</v>
      </c>
      <c r="F475">
        <f ca="1">COUNTIF($A$2:$A475,4)</f>
        <v>82</v>
      </c>
      <c r="G475">
        <f ca="1">COUNTIF($A$2:$A475,5)</f>
        <v>82</v>
      </c>
      <c r="H475">
        <f ca="1">COUNTIF($A$2:$A475,6)</f>
        <v>73</v>
      </c>
      <c r="I475">
        <f t="shared" ca="1" si="51"/>
        <v>14.767932489451477</v>
      </c>
      <c r="J475">
        <f t="shared" ca="1" si="52"/>
        <v>18.354430379746837</v>
      </c>
      <c r="K475">
        <f t="shared" ca="1" si="53"/>
        <v>16.877637130801688</v>
      </c>
      <c r="L475">
        <f t="shared" ca="1" si="54"/>
        <v>17.299578059071731</v>
      </c>
      <c r="M475">
        <f t="shared" ca="1" si="55"/>
        <v>17.299578059071731</v>
      </c>
      <c r="N475">
        <f t="shared" ca="1" si="56"/>
        <v>15.400843881856542</v>
      </c>
    </row>
    <row r="476" spans="1:14" x14ac:dyDescent="0.3">
      <c r="A476">
        <f t="shared" ca="1" si="50"/>
        <v>5</v>
      </c>
      <c r="C476">
        <f ca="1">COUNTIF(A$2:A476,1)</f>
        <v>70</v>
      </c>
      <c r="D476">
        <f ca="1">COUNTIF($A$2:$A476,2)</f>
        <v>87</v>
      </c>
      <c r="E476">
        <f ca="1">COUNTIF($A$2:$A476,3)</f>
        <v>80</v>
      </c>
      <c r="F476">
        <f ca="1">COUNTIF($A$2:$A476,4)</f>
        <v>82</v>
      </c>
      <c r="G476">
        <f ca="1">COUNTIF($A$2:$A476,5)</f>
        <v>83</v>
      </c>
      <c r="H476">
        <f ca="1">COUNTIF($A$2:$A476,6)</f>
        <v>73</v>
      </c>
      <c r="I476">
        <f t="shared" ca="1" si="51"/>
        <v>14.736842105263156</v>
      </c>
      <c r="J476">
        <f t="shared" ca="1" si="52"/>
        <v>18.315789473684209</v>
      </c>
      <c r="K476">
        <f t="shared" ca="1" si="53"/>
        <v>16.842105263157894</v>
      </c>
      <c r="L476">
        <f t="shared" ca="1" si="54"/>
        <v>17.263157894736842</v>
      </c>
      <c r="M476">
        <f t="shared" ca="1" si="55"/>
        <v>17.473684210526315</v>
      </c>
      <c r="N476">
        <f t="shared" ca="1" si="56"/>
        <v>15.368421052631579</v>
      </c>
    </row>
    <row r="477" spans="1:14" x14ac:dyDescent="0.3">
      <c r="A477">
        <f t="shared" ca="1" si="50"/>
        <v>4</v>
      </c>
      <c r="C477">
        <f ca="1">COUNTIF(A$2:A477,1)</f>
        <v>70</v>
      </c>
      <c r="D477">
        <f ca="1">COUNTIF($A$2:$A477,2)</f>
        <v>87</v>
      </c>
      <c r="E477">
        <f ca="1">COUNTIF($A$2:$A477,3)</f>
        <v>80</v>
      </c>
      <c r="F477">
        <f ca="1">COUNTIF($A$2:$A477,4)</f>
        <v>83</v>
      </c>
      <c r="G477">
        <f ca="1">COUNTIF($A$2:$A477,5)</f>
        <v>83</v>
      </c>
      <c r="H477">
        <f ca="1">COUNTIF($A$2:$A477,6)</f>
        <v>73</v>
      </c>
      <c r="I477">
        <f t="shared" ca="1" si="51"/>
        <v>14.705882352941178</v>
      </c>
      <c r="J477">
        <f t="shared" ca="1" si="52"/>
        <v>18.277310924369747</v>
      </c>
      <c r="K477">
        <f t="shared" ca="1" si="53"/>
        <v>16.806722689075631</v>
      </c>
      <c r="L477">
        <f t="shared" ca="1" si="54"/>
        <v>17.436974789915965</v>
      </c>
      <c r="M477">
        <f t="shared" ca="1" si="55"/>
        <v>17.436974789915965</v>
      </c>
      <c r="N477">
        <f t="shared" ca="1" si="56"/>
        <v>15.336134453781513</v>
      </c>
    </row>
    <row r="478" spans="1:14" x14ac:dyDescent="0.3">
      <c r="A478">
        <f t="shared" ca="1" si="50"/>
        <v>6</v>
      </c>
      <c r="C478">
        <f ca="1">COUNTIF(A$2:A478,1)</f>
        <v>70</v>
      </c>
      <c r="D478">
        <f ca="1">COUNTIF($A$2:$A478,2)</f>
        <v>87</v>
      </c>
      <c r="E478">
        <f ca="1">COUNTIF($A$2:$A478,3)</f>
        <v>80</v>
      </c>
      <c r="F478">
        <f ca="1">COUNTIF($A$2:$A478,4)</f>
        <v>83</v>
      </c>
      <c r="G478">
        <f ca="1">COUNTIF($A$2:$A478,5)</f>
        <v>83</v>
      </c>
      <c r="H478">
        <f ca="1">COUNTIF($A$2:$A478,6)</f>
        <v>74</v>
      </c>
      <c r="I478">
        <f t="shared" ca="1" si="51"/>
        <v>14.675052410901468</v>
      </c>
      <c r="J478">
        <f t="shared" ca="1" si="52"/>
        <v>18.238993710691823</v>
      </c>
      <c r="K478">
        <f t="shared" ca="1" si="53"/>
        <v>16.771488469601678</v>
      </c>
      <c r="L478">
        <f t="shared" ca="1" si="54"/>
        <v>17.40041928721174</v>
      </c>
      <c r="M478">
        <f t="shared" ca="1" si="55"/>
        <v>17.40041928721174</v>
      </c>
      <c r="N478">
        <f t="shared" ca="1" si="56"/>
        <v>15.513626834381553</v>
      </c>
    </row>
    <row r="479" spans="1:14" x14ac:dyDescent="0.3">
      <c r="A479">
        <f t="shared" ca="1" si="50"/>
        <v>4</v>
      </c>
      <c r="C479">
        <f ca="1">COUNTIF(A$2:A479,1)</f>
        <v>70</v>
      </c>
      <c r="D479">
        <f ca="1">COUNTIF($A$2:$A479,2)</f>
        <v>87</v>
      </c>
      <c r="E479">
        <f ca="1">COUNTIF($A$2:$A479,3)</f>
        <v>80</v>
      </c>
      <c r="F479">
        <f ca="1">COUNTIF($A$2:$A479,4)</f>
        <v>84</v>
      </c>
      <c r="G479">
        <f ca="1">COUNTIF($A$2:$A479,5)</f>
        <v>83</v>
      </c>
      <c r="H479">
        <f ca="1">COUNTIF($A$2:$A479,6)</f>
        <v>74</v>
      </c>
      <c r="I479">
        <f t="shared" ca="1" si="51"/>
        <v>14.644351464435147</v>
      </c>
      <c r="J479">
        <f t="shared" ca="1" si="52"/>
        <v>18.200836820083683</v>
      </c>
      <c r="K479">
        <f t="shared" ca="1" si="53"/>
        <v>16.736401673640167</v>
      </c>
      <c r="L479">
        <f t="shared" ca="1" si="54"/>
        <v>17.573221757322173</v>
      </c>
      <c r="M479">
        <f t="shared" ca="1" si="55"/>
        <v>17.364016736401673</v>
      </c>
      <c r="N479">
        <f t="shared" ca="1" si="56"/>
        <v>15.481171548117153</v>
      </c>
    </row>
    <row r="480" spans="1:14" x14ac:dyDescent="0.3">
      <c r="A480">
        <f t="shared" ca="1" si="50"/>
        <v>1</v>
      </c>
      <c r="C480">
        <f ca="1">COUNTIF(A$2:A480,1)</f>
        <v>71</v>
      </c>
      <c r="D480">
        <f ca="1">COUNTIF($A$2:$A480,2)</f>
        <v>87</v>
      </c>
      <c r="E480">
        <f ca="1">COUNTIF($A$2:$A480,3)</f>
        <v>80</v>
      </c>
      <c r="F480">
        <f ca="1">COUNTIF($A$2:$A480,4)</f>
        <v>84</v>
      </c>
      <c r="G480">
        <f ca="1">COUNTIF($A$2:$A480,5)</f>
        <v>83</v>
      </c>
      <c r="H480">
        <f ca="1">COUNTIF($A$2:$A480,6)</f>
        <v>74</v>
      </c>
      <c r="I480">
        <f t="shared" ca="1" si="51"/>
        <v>14.822546972860126</v>
      </c>
      <c r="J480">
        <f t="shared" ca="1" si="52"/>
        <v>18.162839248434238</v>
      </c>
      <c r="K480">
        <f t="shared" ca="1" si="53"/>
        <v>16.701461377870565</v>
      </c>
      <c r="L480">
        <f t="shared" ca="1" si="54"/>
        <v>17.536534446764094</v>
      </c>
      <c r="M480">
        <f t="shared" ca="1" si="55"/>
        <v>17.32776617954071</v>
      </c>
      <c r="N480">
        <f t="shared" ca="1" si="56"/>
        <v>15.44885177453027</v>
      </c>
    </row>
    <row r="481" spans="1:14" x14ac:dyDescent="0.3">
      <c r="A481">
        <f t="shared" ca="1" si="50"/>
        <v>2</v>
      </c>
      <c r="C481">
        <f ca="1">COUNTIF(A$2:A481,1)</f>
        <v>71</v>
      </c>
      <c r="D481">
        <f ca="1">COUNTIF($A$2:$A481,2)</f>
        <v>88</v>
      </c>
      <c r="E481">
        <f ca="1">COUNTIF($A$2:$A481,3)</f>
        <v>80</v>
      </c>
      <c r="F481">
        <f ca="1">COUNTIF($A$2:$A481,4)</f>
        <v>84</v>
      </c>
      <c r="G481">
        <f ca="1">COUNTIF($A$2:$A481,5)</f>
        <v>83</v>
      </c>
      <c r="H481">
        <f ca="1">COUNTIF($A$2:$A481,6)</f>
        <v>74</v>
      </c>
      <c r="I481">
        <f t="shared" ca="1" si="51"/>
        <v>14.791666666666666</v>
      </c>
      <c r="J481">
        <f t="shared" ca="1" si="52"/>
        <v>18.333333333333332</v>
      </c>
      <c r="K481">
        <f t="shared" ca="1" si="53"/>
        <v>16.666666666666664</v>
      </c>
      <c r="L481">
        <f t="shared" ca="1" si="54"/>
        <v>17.5</v>
      </c>
      <c r="M481">
        <f t="shared" ca="1" si="55"/>
        <v>17.291666666666668</v>
      </c>
      <c r="N481">
        <f t="shared" ca="1" si="56"/>
        <v>15.416666666666668</v>
      </c>
    </row>
    <row r="482" spans="1:14" x14ac:dyDescent="0.3">
      <c r="A482">
        <f t="shared" ca="1" si="50"/>
        <v>5</v>
      </c>
      <c r="C482">
        <f ca="1">COUNTIF(A$2:A482,1)</f>
        <v>71</v>
      </c>
      <c r="D482">
        <f ca="1">COUNTIF($A$2:$A482,2)</f>
        <v>88</v>
      </c>
      <c r="E482">
        <f ca="1">COUNTIF($A$2:$A482,3)</f>
        <v>80</v>
      </c>
      <c r="F482">
        <f ca="1">COUNTIF($A$2:$A482,4)</f>
        <v>84</v>
      </c>
      <c r="G482">
        <f ca="1">COUNTIF($A$2:$A482,5)</f>
        <v>84</v>
      </c>
      <c r="H482">
        <f ca="1">COUNTIF($A$2:$A482,6)</f>
        <v>74</v>
      </c>
      <c r="I482">
        <f t="shared" ca="1" si="51"/>
        <v>14.760914760914762</v>
      </c>
      <c r="J482">
        <f t="shared" ca="1" si="52"/>
        <v>18.295218295218298</v>
      </c>
      <c r="K482">
        <f t="shared" ca="1" si="53"/>
        <v>16.632016632016633</v>
      </c>
      <c r="L482">
        <f t="shared" ca="1" si="54"/>
        <v>17.463617463617464</v>
      </c>
      <c r="M482">
        <f t="shared" ca="1" si="55"/>
        <v>17.463617463617464</v>
      </c>
      <c r="N482">
        <f t="shared" ca="1" si="56"/>
        <v>15.384615384615385</v>
      </c>
    </row>
    <row r="483" spans="1:14" x14ac:dyDescent="0.3">
      <c r="A483">
        <f t="shared" ca="1" si="50"/>
        <v>6</v>
      </c>
      <c r="C483">
        <f ca="1">COUNTIF(A$2:A483,1)</f>
        <v>71</v>
      </c>
      <c r="D483">
        <f ca="1">COUNTIF($A$2:$A483,2)</f>
        <v>88</v>
      </c>
      <c r="E483">
        <f ca="1">COUNTIF($A$2:$A483,3)</f>
        <v>80</v>
      </c>
      <c r="F483">
        <f ca="1">COUNTIF($A$2:$A483,4)</f>
        <v>84</v>
      </c>
      <c r="G483">
        <f ca="1">COUNTIF($A$2:$A483,5)</f>
        <v>84</v>
      </c>
      <c r="H483">
        <f ca="1">COUNTIF($A$2:$A483,6)</f>
        <v>75</v>
      </c>
      <c r="I483">
        <f t="shared" ca="1" si="51"/>
        <v>14.730290456431536</v>
      </c>
      <c r="J483">
        <f t="shared" ca="1" si="52"/>
        <v>18.257261410788381</v>
      </c>
      <c r="K483">
        <f t="shared" ca="1" si="53"/>
        <v>16.597510373443981</v>
      </c>
      <c r="L483">
        <f t="shared" ca="1" si="54"/>
        <v>17.427385892116181</v>
      </c>
      <c r="M483">
        <f t="shared" ca="1" si="55"/>
        <v>17.427385892116181</v>
      </c>
      <c r="N483">
        <f t="shared" ca="1" si="56"/>
        <v>15.560165975103734</v>
      </c>
    </row>
    <row r="484" spans="1:14" x14ac:dyDescent="0.3">
      <c r="A484">
        <f t="shared" ca="1" si="50"/>
        <v>4</v>
      </c>
      <c r="C484">
        <f ca="1">COUNTIF(A$2:A484,1)</f>
        <v>71</v>
      </c>
      <c r="D484">
        <f ca="1">COUNTIF($A$2:$A484,2)</f>
        <v>88</v>
      </c>
      <c r="E484">
        <f ca="1">COUNTIF($A$2:$A484,3)</f>
        <v>80</v>
      </c>
      <c r="F484">
        <f ca="1">COUNTIF($A$2:$A484,4)</f>
        <v>85</v>
      </c>
      <c r="G484">
        <f ca="1">COUNTIF($A$2:$A484,5)</f>
        <v>84</v>
      </c>
      <c r="H484">
        <f ca="1">COUNTIF($A$2:$A484,6)</f>
        <v>75</v>
      </c>
      <c r="I484">
        <f t="shared" ca="1" si="51"/>
        <v>14.699792960662524</v>
      </c>
      <c r="J484">
        <f t="shared" ca="1" si="52"/>
        <v>18.219461697722565</v>
      </c>
      <c r="K484">
        <f t="shared" ca="1" si="53"/>
        <v>16.563146997929607</v>
      </c>
      <c r="L484">
        <f t="shared" ca="1" si="54"/>
        <v>17.598343685300208</v>
      </c>
      <c r="M484">
        <f t="shared" ca="1" si="55"/>
        <v>17.391304347826086</v>
      </c>
      <c r="N484">
        <f t="shared" ca="1" si="56"/>
        <v>15.527950310559005</v>
      </c>
    </row>
    <row r="485" spans="1:14" x14ac:dyDescent="0.3">
      <c r="A485">
        <f t="shared" ca="1" si="50"/>
        <v>3</v>
      </c>
      <c r="C485">
        <f ca="1">COUNTIF(A$2:A485,1)</f>
        <v>71</v>
      </c>
      <c r="D485">
        <f ca="1">COUNTIF($A$2:$A485,2)</f>
        <v>88</v>
      </c>
      <c r="E485">
        <f ca="1">COUNTIF($A$2:$A485,3)</f>
        <v>81</v>
      </c>
      <c r="F485">
        <f ca="1">COUNTIF($A$2:$A485,4)</f>
        <v>85</v>
      </c>
      <c r="G485">
        <f ca="1">COUNTIF($A$2:$A485,5)</f>
        <v>84</v>
      </c>
      <c r="H485">
        <f ca="1">COUNTIF($A$2:$A485,6)</f>
        <v>75</v>
      </c>
      <c r="I485">
        <f t="shared" ca="1" si="51"/>
        <v>14.669421487603307</v>
      </c>
      <c r="J485">
        <f t="shared" ca="1" si="52"/>
        <v>18.181818181818183</v>
      </c>
      <c r="K485">
        <f t="shared" ca="1" si="53"/>
        <v>16.735537190082646</v>
      </c>
      <c r="L485">
        <f t="shared" ca="1" si="54"/>
        <v>17.561983471074381</v>
      </c>
      <c r="M485">
        <f t="shared" ca="1" si="55"/>
        <v>17.355371900826448</v>
      </c>
      <c r="N485">
        <f t="shared" ca="1" si="56"/>
        <v>15.495867768595042</v>
      </c>
    </row>
    <row r="486" spans="1:14" x14ac:dyDescent="0.3">
      <c r="A486">
        <f t="shared" ca="1" si="50"/>
        <v>2</v>
      </c>
      <c r="C486">
        <f ca="1">COUNTIF(A$2:A486,1)</f>
        <v>71</v>
      </c>
      <c r="D486">
        <f ca="1">COUNTIF($A$2:$A486,2)</f>
        <v>89</v>
      </c>
      <c r="E486">
        <f ca="1">COUNTIF($A$2:$A486,3)</f>
        <v>81</v>
      </c>
      <c r="F486">
        <f ca="1">COUNTIF($A$2:$A486,4)</f>
        <v>85</v>
      </c>
      <c r="G486">
        <f ca="1">COUNTIF($A$2:$A486,5)</f>
        <v>84</v>
      </c>
      <c r="H486">
        <f ca="1">COUNTIF($A$2:$A486,6)</f>
        <v>75</v>
      </c>
      <c r="I486">
        <f t="shared" ca="1" si="51"/>
        <v>14.63917525773196</v>
      </c>
      <c r="J486">
        <f t="shared" ca="1" si="52"/>
        <v>18.350515463917525</v>
      </c>
      <c r="K486">
        <f t="shared" ca="1" si="53"/>
        <v>16.701030927835049</v>
      </c>
      <c r="L486">
        <f t="shared" ca="1" si="54"/>
        <v>17.525773195876287</v>
      </c>
      <c r="M486">
        <f t="shared" ca="1" si="55"/>
        <v>17.319587628865978</v>
      </c>
      <c r="N486">
        <f t="shared" ca="1" si="56"/>
        <v>15.463917525773196</v>
      </c>
    </row>
    <row r="487" spans="1:14" x14ac:dyDescent="0.3">
      <c r="A487">
        <f t="shared" ca="1" si="50"/>
        <v>3</v>
      </c>
      <c r="C487">
        <f ca="1">COUNTIF(A$2:A487,1)</f>
        <v>71</v>
      </c>
      <c r="D487">
        <f ca="1">COUNTIF($A$2:$A487,2)</f>
        <v>89</v>
      </c>
      <c r="E487">
        <f ca="1">COUNTIF($A$2:$A487,3)</f>
        <v>82</v>
      </c>
      <c r="F487">
        <f ca="1">COUNTIF($A$2:$A487,4)</f>
        <v>85</v>
      </c>
      <c r="G487">
        <f ca="1">COUNTIF($A$2:$A487,5)</f>
        <v>84</v>
      </c>
      <c r="H487">
        <f ca="1">COUNTIF($A$2:$A487,6)</f>
        <v>75</v>
      </c>
      <c r="I487">
        <f t="shared" ca="1" si="51"/>
        <v>14.609053497942387</v>
      </c>
      <c r="J487">
        <f t="shared" ca="1" si="52"/>
        <v>18.31275720164609</v>
      </c>
      <c r="K487">
        <f t="shared" ca="1" si="53"/>
        <v>16.872427983539097</v>
      </c>
      <c r="L487">
        <f t="shared" ca="1" si="54"/>
        <v>17.489711934156379</v>
      </c>
      <c r="M487">
        <f t="shared" ca="1" si="55"/>
        <v>17.283950617283949</v>
      </c>
      <c r="N487">
        <f t="shared" ca="1" si="56"/>
        <v>15.432098765432098</v>
      </c>
    </row>
    <row r="488" spans="1:14" x14ac:dyDescent="0.3">
      <c r="A488">
        <f t="shared" ca="1" si="50"/>
        <v>4</v>
      </c>
      <c r="C488">
        <f ca="1">COUNTIF(A$2:A488,1)</f>
        <v>71</v>
      </c>
      <c r="D488">
        <f ca="1">COUNTIF($A$2:$A488,2)</f>
        <v>89</v>
      </c>
      <c r="E488">
        <f ca="1">COUNTIF($A$2:$A488,3)</f>
        <v>82</v>
      </c>
      <c r="F488">
        <f ca="1">COUNTIF($A$2:$A488,4)</f>
        <v>86</v>
      </c>
      <c r="G488">
        <f ca="1">COUNTIF($A$2:$A488,5)</f>
        <v>84</v>
      </c>
      <c r="H488">
        <f ca="1">COUNTIF($A$2:$A488,6)</f>
        <v>75</v>
      </c>
      <c r="I488">
        <f t="shared" ca="1" si="51"/>
        <v>14.579055441478438</v>
      </c>
      <c r="J488">
        <f t="shared" ca="1" si="52"/>
        <v>18.275154004106774</v>
      </c>
      <c r="K488">
        <f t="shared" ca="1" si="53"/>
        <v>16.837782340862422</v>
      </c>
      <c r="L488">
        <f t="shared" ca="1" si="54"/>
        <v>17.659137577002053</v>
      </c>
      <c r="M488">
        <f t="shared" ca="1" si="55"/>
        <v>17.248459958932237</v>
      </c>
      <c r="N488">
        <f t="shared" ca="1" si="56"/>
        <v>15.400410677618071</v>
      </c>
    </row>
    <row r="489" spans="1:14" x14ac:dyDescent="0.3">
      <c r="A489">
        <f t="shared" ca="1" si="50"/>
        <v>5</v>
      </c>
      <c r="C489">
        <f ca="1">COUNTIF(A$2:A489,1)</f>
        <v>71</v>
      </c>
      <c r="D489">
        <f ca="1">COUNTIF($A$2:$A489,2)</f>
        <v>89</v>
      </c>
      <c r="E489">
        <f ca="1">COUNTIF($A$2:$A489,3)</f>
        <v>82</v>
      </c>
      <c r="F489">
        <f ca="1">COUNTIF($A$2:$A489,4)</f>
        <v>86</v>
      </c>
      <c r="G489">
        <f ca="1">COUNTIF($A$2:$A489,5)</f>
        <v>85</v>
      </c>
      <c r="H489">
        <f ca="1">COUNTIF($A$2:$A489,6)</f>
        <v>75</v>
      </c>
      <c r="I489">
        <f t="shared" ca="1" si="51"/>
        <v>14.549180327868852</v>
      </c>
      <c r="J489">
        <f t="shared" ca="1" si="52"/>
        <v>18.237704918032787</v>
      </c>
      <c r="K489">
        <f t="shared" ca="1" si="53"/>
        <v>16.803278688524589</v>
      </c>
      <c r="L489">
        <f t="shared" ca="1" si="54"/>
        <v>17.622950819672131</v>
      </c>
      <c r="M489">
        <f t="shared" ca="1" si="55"/>
        <v>17.418032786885245</v>
      </c>
      <c r="N489">
        <f t="shared" ca="1" si="56"/>
        <v>15.368852459016393</v>
      </c>
    </row>
    <row r="490" spans="1:14" x14ac:dyDescent="0.3">
      <c r="A490">
        <f t="shared" ca="1" si="50"/>
        <v>3</v>
      </c>
      <c r="C490">
        <f ca="1">COUNTIF(A$2:A490,1)</f>
        <v>71</v>
      </c>
      <c r="D490">
        <f ca="1">COUNTIF($A$2:$A490,2)</f>
        <v>89</v>
      </c>
      <c r="E490">
        <f ca="1">COUNTIF($A$2:$A490,3)</f>
        <v>83</v>
      </c>
      <c r="F490">
        <f ca="1">COUNTIF($A$2:$A490,4)</f>
        <v>86</v>
      </c>
      <c r="G490">
        <f ca="1">COUNTIF($A$2:$A490,5)</f>
        <v>85</v>
      </c>
      <c r="H490">
        <f ca="1">COUNTIF($A$2:$A490,6)</f>
        <v>75</v>
      </c>
      <c r="I490">
        <f t="shared" ca="1" si="51"/>
        <v>14.519427402862986</v>
      </c>
      <c r="J490">
        <f t="shared" ca="1" si="52"/>
        <v>18.200408997955012</v>
      </c>
      <c r="K490">
        <f t="shared" ca="1" si="53"/>
        <v>16.973415132924334</v>
      </c>
      <c r="L490">
        <f t="shared" ca="1" si="54"/>
        <v>17.586912065439673</v>
      </c>
      <c r="M490">
        <f t="shared" ca="1" si="55"/>
        <v>17.382413087934559</v>
      </c>
      <c r="N490">
        <f t="shared" ca="1" si="56"/>
        <v>15.337423312883436</v>
      </c>
    </row>
    <row r="491" spans="1:14" x14ac:dyDescent="0.3">
      <c r="A491">
        <f t="shared" ca="1" si="50"/>
        <v>6</v>
      </c>
      <c r="C491">
        <f ca="1">COUNTIF(A$2:A491,1)</f>
        <v>71</v>
      </c>
      <c r="D491">
        <f ca="1">COUNTIF($A$2:$A491,2)</f>
        <v>89</v>
      </c>
      <c r="E491">
        <f ca="1">COUNTIF($A$2:$A491,3)</f>
        <v>83</v>
      </c>
      <c r="F491">
        <f ca="1">COUNTIF($A$2:$A491,4)</f>
        <v>86</v>
      </c>
      <c r="G491">
        <f ca="1">COUNTIF($A$2:$A491,5)</f>
        <v>85</v>
      </c>
      <c r="H491">
        <f ca="1">COUNTIF($A$2:$A491,6)</f>
        <v>76</v>
      </c>
      <c r="I491">
        <f t="shared" ca="1" si="51"/>
        <v>14.489795918367346</v>
      </c>
      <c r="J491">
        <f t="shared" ca="1" si="52"/>
        <v>18.163265306122451</v>
      </c>
      <c r="K491">
        <f t="shared" ca="1" si="53"/>
        <v>16.938775510204081</v>
      </c>
      <c r="L491">
        <f t="shared" ca="1" si="54"/>
        <v>17.551020408163264</v>
      </c>
      <c r="M491">
        <f t="shared" ca="1" si="55"/>
        <v>17.346938775510203</v>
      </c>
      <c r="N491">
        <f t="shared" ca="1" si="56"/>
        <v>15.510204081632653</v>
      </c>
    </row>
    <row r="492" spans="1:14" x14ac:dyDescent="0.3">
      <c r="A492">
        <f t="shared" ca="1" si="50"/>
        <v>3</v>
      </c>
      <c r="C492">
        <f ca="1">COUNTIF(A$2:A492,1)</f>
        <v>71</v>
      </c>
      <c r="D492">
        <f ca="1">COUNTIF($A$2:$A492,2)</f>
        <v>89</v>
      </c>
      <c r="E492">
        <f ca="1">COUNTIF($A$2:$A492,3)</f>
        <v>84</v>
      </c>
      <c r="F492">
        <f ca="1">COUNTIF($A$2:$A492,4)</f>
        <v>86</v>
      </c>
      <c r="G492">
        <f ca="1">COUNTIF($A$2:$A492,5)</f>
        <v>85</v>
      </c>
      <c r="H492">
        <f ca="1">COUNTIF($A$2:$A492,6)</f>
        <v>76</v>
      </c>
      <c r="I492">
        <f t="shared" ca="1" si="51"/>
        <v>14.460285132382891</v>
      </c>
      <c r="J492">
        <f t="shared" ca="1" si="52"/>
        <v>18.126272912423623</v>
      </c>
      <c r="K492">
        <f t="shared" ca="1" si="53"/>
        <v>17.107942973523421</v>
      </c>
      <c r="L492">
        <f t="shared" ca="1" si="54"/>
        <v>17.515274949083505</v>
      </c>
      <c r="M492">
        <f t="shared" ca="1" si="55"/>
        <v>17.311608961303463</v>
      </c>
      <c r="N492">
        <f t="shared" ca="1" si="56"/>
        <v>15.478615071283095</v>
      </c>
    </row>
    <row r="493" spans="1:14" x14ac:dyDescent="0.3">
      <c r="A493">
        <f t="shared" ca="1" si="50"/>
        <v>6</v>
      </c>
      <c r="C493">
        <f ca="1">COUNTIF(A$2:A493,1)</f>
        <v>71</v>
      </c>
      <c r="D493">
        <f ca="1">COUNTIF($A$2:$A493,2)</f>
        <v>89</v>
      </c>
      <c r="E493">
        <f ca="1">COUNTIF($A$2:$A493,3)</f>
        <v>84</v>
      </c>
      <c r="F493">
        <f ca="1">COUNTIF($A$2:$A493,4)</f>
        <v>86</v>
      </c>
      <c r="G493">
        <f ca="1">COUNTIF($A$2:$A493,5)</f>
        <v>85</v>
      </c>
      <c r="H493">
        <f ca="1">COUNTIF($A$2:$A493,6)</f>
        <v>77</v>
      </c>
      <c r="I493">
        <f t="shared" ca="1" si="51"/>
        <v>14.43089430894309</v>
      </c>
      <c r="J493">
        <f t="shared" ca="1" si="52"/>
        <v>18.089430894308943</v>
      </c>
      <c r="K493">
        <f t="shared" ca="1" si="53"/>
        <v>17.073170731707318</v>
      </c>
      <c r="L493">
        <f t="shared" ca="1" si="54"/>
        <v>17.479674796747968</v>
      </c>
      <c r="M493">
        <f t="shared" ca="1" si="55"/>
        <v>17.276422764227643</v>
      </c>
      <c r="N493">
        <f t="shared" ca="1" si="56"/>
        <v>15.650406504065039</v>
      </c>
    </row>
    <row r="494" spans="1:14" x14ac:dyDescent="0.3">
      <c r="A494">
        <f t="shared" ca="1" si="50"/>
        <v>2</v>
      </c>
      <c r="C494">
        <f ca="1">COUNTIF(A$2:A494,1)</f>
        <v>71</v>
      </c>
      <c r="D494">
        <f ca="1">COUNTIF($A$2:$A494,2)</f>
        <v>90</v>
      </c>
      <c r="E494">
        <f ca="1">COUNTIF($A$2:$A494,3)</f>
        <v>84</v>
      </c>
      <c r="F494">
        <f ca="1">COUNTIF($A$2:$A494,4)</f>
        <v>86</v>
      </c>
      <c r="G494">
        <f ca="1">COUNTIF($A$2:$A494,5)</f>
        <v>85</v>
      </c>
      <c r="H494">
        <f ca="1">COUNTIF($A$2:$A494,6)</f>
        <v>77</v>
      </c>
      <c r="I494">
        <f t="shared" ca="1" si="51"/>
        <v>14.401622718052739</v>
      </c>
      <c r="J494">
        <f t="shared" ca="1" si="52"/>
        <v>18.255578093306287</v>
      </c>
      <c r="K494">
        <f t="shared" ca="1" si="53"/>
        <v>17.038539553752535</v>
      </c>
      <c r="L494">
        <f t="shared" ca="1" si="54"/>
        <v>17.444219066937119</v>
      </c>
      <c r="M494">
        <f t="shared" ca="1" si="55"/>
        <v>17.241379310344829</v>
      </c>
      <c r="N494">
        <f t="shared" ca="1" si="56"/>
        <v>15.618661257606492</v>
      </c>
    </row>
    <row r="495" spans="1:14" x14ac:dyDescent="0.3">
      <c r="A495">
        <f t="shared" ca="1" si="50"/>
        <v>3</v>
      </c>
      <c r="C495">
        <f ca="1">COUNTIF(A$2:A495,1)</f>
        <v>71</v>
      </c>
      <c r="D495">
        <f ca="1">COUNTIF($A$2:$A495,2)</f>
        <v>90</v>
      </c>
      <c r="E495">
        <f ca="1">COUNTIF($A$2:$A495,3)</f>
        <v>85</v>
      </c>
      <c r="F495">
        <f ca="1">COUNTIF($A$2:$A495,4)</f>
        <v>86</v>
      </c>
      <c r="G495">
        <f ca="1">COUNTIF($A$2:$A495,5)</f>
        <v>85</v>
      </c>
      <c r="H495">
        <f ca="1">COUNTIF($A$2:$A495,6)</f>
        <v>77</v>
      </c>
      <c r="I495">
        <f t="shared" ca="1" si="51"/>
        <v>14.37246963562753</v>
      </c>
      <c r="J495">
        <f t="shared" ca="1" si="52"/>
        <v>18.218623481781375</v>
      </c>
      <c r="K495">
        <f t="shared" ca="1" si="53"/>
        <v>17.20647773279352</v>
      </c>
      <c r="L495">
        <f t="shared" ca="1" si="54"/>
        <v>17.408906882591094</v>
      </c>
      <c r="M495">
        <f t="shared" ca="1" si="55"/>
        <v>17.20647773279352</v>
      </c>
      <c r="N495">
        <f t="shared" ca="1" si="56"/>
        <v>15.587044534412955</v>
      </c>
    </row>
    <row r="496" spans="1:14" x14ac:dyDescent="0.3">
      <c r="A496">
        <f t="shared" ca="1" si="50"/>
        <v>4</v>
      </c>
      <c r="C496">
        <f ca="1">COUNTIF(A$2:A496,1)</f>
        <v>71</v>
      </c>
      <c r="D496">
        <f ca="1">COUNTIF($A$2:$A496,2)</f>
        <v>90</v>
      </c>
      <c r="E496">
        <f ca="1">COUNTIF($A$2:$A496,3)</f>
        <v>85</v>
      </c>
      <c r="F496">
        <f ca="1">COUNTIF($A$2:$A496,4)</f>
        <v>87</v>
      </c>
      <c r="G496">
        <f ca="1">COUNTIF($A$2:$A496,5)</f>
        <v>85</v>
      </c>
      <c r="H496">
        <f ca="1">COUNTIF($A$2:$A496,6)</f>
        <v>77</v>
      </c>
      <c r="I496">
        <f t="shared" ca="1" si="51"/>
        <v>14.343434343434344</v>
      </c>
      <c r="J496">
        <f t="shared" ca="1" si="52"/>
        <v>18.181818181818183</v>
      </c>
      <c r="K496">
        <f t="shared" ca="1" si="53"/>
        <v>17.171717171717169</v>
      </c>
      <c r="L496">
        <f t="shared" ca="1" si="54"/>
        <v>17.575757575757574</v>
      </c>
      <c r="M496">
        <f t="shared" ca="1" si="55"/>
        <v>17.171717171717169</v>
      </c>
      <c r="N496">
        <f t="shared" ca="1" si="56"/>
        <v>15.555555555555555</v>
      </c>
    </row>
    <row r="497" spans="1:14" x14ac:dyDescent="0.3">
      <c r="A497">
        <f t="shared" ca="1" si="50"/>
        <v>5</v>
      </c>
      <c r="C497">
        <f ca="1">COUNTIF(A$2:A497,1)</f>
        <v>71</v>
      </c>
      <c r="D497">
        <f ca="1">COUNTIF($A$2:$A497,2)</f>
        <v>90</v>
      </c>
      <c r="E497">
        <f ca="1">COUNTIF($A$2:$A497,3)</f>
        <v>85</v>
      </c>
      <c r="F497">
        <f ca="1">COUNTIF($A$2:$A497,4)</f>
        <v>87</v>
      </c>
      <c r="G497">
        <f ca="1">COUNTIF($A$2:$A497,5)</f>
        <v>86</v>
      </c>
      <c r="H497">
        <f ca="1">COUNTIF($A$2:$A497,6)</f>
        <v>77</v>
      </c>
      <c r="I497">
        <f t="shared" ca="1" si="51"/>
        <v>14.31451612903226</v>
      </c>
      <c r="J497">
        <f t="shared" ca="1" si="52"/>
        <v>18.14516129032258</v>
      </c>
      <c r="K497">
        <f t="shared" ca="1" si="53"/>
        <v>17.137096774193548</v>
      </c>
      <c r="L497">
        <f t="shared" ca="1" si="54"/>
        <v>17.540322580645164</v>
      </c>
      <c r="M497">
        <f t="shared" ca="1" si="55"/>
        <v>17.338709677419356</v>
      </c>
      <c r="N497">
        <f t="shared" ca="1" si="56"/>
        <v>15.524193548387096</v>
      </c>
    </row>
    <row r="498" spans="1:14" x14ac:dyDescent="0.3">
      <c r="A498">
        <f t="shared" ca="1" si="50"/>
        <v>3</v>
      </c>
      <c r="C498">
        <f ca="1">COUNTIF(A$2:A498,1)</f>
        <v>71</v>
      </c>
      <c r="D498">
        <f ca="1">COUNTIF($A$2:$A498,2)</f>
        <v>90</v>
      </c>
      <c r="E498">
        <f ca="1">COUNTIF($A$2:$A498,3)</f>
        <v>86</v>
      </c>
      <c r="F498">
        <f ca="1">COUNTIF($A$2:$A498,4)</f>
        <v>87</v>
      </c>
      <c r="G498">
        <f ca="1">COUNTIF($A$2:$A498,5)</f>
        <v>86</v>
      </c>
      <c r="H498">
        <f ca="1">COUNTIF($A$2:$A498,6)</f>
        <v>77</v>
      </c>
      <c r="I498">
        <f t="shared" ca="1" si="51"/>
        <v>14.285714285714285</v>
      </c>
      <c r="J498">
        <f t="shared" ca="1" si="52"/>
        <v>18.108651911468812</v>
      </c>
      <c r="K498">
        <f t="shared" ca="1" si="53"/>
        <v>17.303822937625753</v>
      </c>
      <c r="L498">
        <f t="shared" ca="1" si="54"/>
        <v>17.505030181086521</v>
      </c>
      <c r="M498">
        <f t="shared" ca="1" si="55"/>
        <v>17.303822937625753</v>
      </c>
      <c r="N498">
        <f t="shared" ca="1" si="56"/>
        <v>15.492957746478872</v>
      </c>
    </row>
    <row r="499" spans="1:14" x14ac:dyDescent="0.3">
      <c r="A499">
        <f t="shared" ca="1" si="50"/>
        <v>2</v>
      </c>
      <c r="C499">
        <f ca="1">COUNTIF(A$2:A499,1)</f>
        <v>71</v>
      </c>
      <c r="D499">
        <f ca="1">COUNTIF($A$2:$A499,2)</f>
        <v>91</v>
      </c>
      <c r="E499">
        <f ca="1">COUNTIF($A$2:$A499,3)</f>
        <v>86</v>
      </c>
      <c r="F499">
        <f ca="1">COUNTIF($A$2:$A499,4)</f>
        <v>87</v>
      </c>
      <c r="G499">
        <f ca="1">COUNTIF($A$2:$A499,5)</f>
        <v>86</v>
      </c>
      <c r="H499">
        <f ca="1">COUNTIF($A$2:$A499,6)</f>
        <v>77</v>
      </c>
      <c r="I499">
        <f t="shared" ca="1" si="51"/>
        <v>14.257028112449799</v>
      </c>
      <c r="J499">
        <f t="shared" ca="1" si="52"/>
        <v>18.273092369477911</v>
      </c>
      <c r="K499">
        <f t="shared" ca="1" si="53"/>
        <v>17.269076305220885</v>
      </c>
      <c r="L499">
        <f t="shared" ca="1" si="54"/>
        <v>17.46987951807229</v>
      </c>
      <c r="M499">
        <f t="shared" ca="1" si="55"/>
        <v>17.269076305220885</v>
      </c>
      <c r="N499">
        <f t="shared" ca="1" si="56"/>
        <v>15.461847389558233</v>
      </c>
    </row>
    <row r="500" spans="1:14" x14ac:dyDescent="0.3">
      <c r="A500">
        <f t="shared" ca="1" si="50"/>
        <v>4</v>
      </c>
      <c r="C500">
        <f ca="1">COUNTIF(A$2:A500,1)</f>
        <v>71</v>
      </c>
      <c r="D500">
        <f ca="1">COUNTIF($A$2:$A500,2)</f>
        <v>91</v>
      </c>
      <c r="E500">
        <f ca="1">COUNTIF($A$2:$A500,3)</f>
        <v>86</v>
      </c>
      <c r="F500">
        <f ca="1">COUNTIF($A$2:$A500,4)</f>
        <v>88</v>
      </c>
      <c r="G500">
        <f ca="1">COUNTIF($A$2:$A500,5)</f>
        <v>86</v>
      </c>
      <c r="H500">
        <f ca="1">COUNTIF($A$2:$A500,6)</f>
        <v>77</v>
      </c>
      <c r="I500">
        <f t="shared" ca="1" si="51"/>
        <v>14.228456913827655</v>
      </c>
      <c r="J500">
        <f t="shared" ca="1" si="52"/>
        <v>18.236472945891784</v>
      </c>
      <c r="K500">
        <f t="shared" ca="1" si="53"/>
        <v>17.234468937875754</v>
      </c>
      <c r="L500">
        <f t="shared" ca="1" si="54"/>
        <v>17.635270541082164</v>
      </c>
      <c r="M500">
        <f t="shared" ca="1" si="55"/>
        <v>17.234468937875754</v>
      </c>
      <c r="N500">
        <f t="shared" ca="1" si="56"/>
        <v>15.430861723446892</v>
      </c>
    </row>
    <row r="501" spans="1:14" x14ac:dyDescent="0.3">
      <c r="A501">
        <f t="shared" ca="1" si="50"/>
        <v>5</v>
      </c>
      <c r="C501">
        <f ca="1">COUNTIF(A$2:A501,1)</f>
        <v>71</v>
      </c>
      <c r="D501">
        <f ca="1">COUNTIF($A$2:$A501,2)</f>
        <v>91</v>
      </c>
      <c r="E501">
        <f ca="1">COUNTIF($A$2:$A501,3)</f>
        <v>86</v>
      </c>
      <c r="F501">
        <f ca="1">COUNTIF($A$2:$A501,4)</f>
        <v>88</v>
      </c>
      <c r="G501">
        <f ca="1">COUNTIF($A$2:$A501,5)</f>
        <v>87</v>
      </c>
      <c r="H501">
        <f ca="1">COUNTIF($A$2:$A501,6)</f>
        <v>77</v>
      </c>
      <c r="I501">
        <f t="shared" ca="1" si="51"/>
        <v>14.2</v>
      </c>
      <c r="J501">
        <f t="shared" ca="1" si="52"/>
        <v>18.2</v>
      </c>
      <c r="K501">
        <f t="shared" ca="1" si="53"/>
        <v>17.2</v>
      </c>
      <c r="L501">
        <f t="shared" ca="1" si="54"/>
        <v>17.599999999999998</v>
      </c>
      <c r="M501">
        <f t="shared" ca="1" si="55"/>
        <v>17.399999999999999</v>
      </c>
      <c r="N501">
        <f t="shared" ca="1" si="56"/>
        <v>15.4</v>
      </c>
    </row>
    <row r="502" spans="1:14" x14ac:dyDescent="0.3">
      <c r="A502">
        <f t="shared" ca="1" si="50"/>
        <v>3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3B29-FF8A-4D5E-8DC5-0F8BF1FBA355}">
  <dimension ref="A1:L109"/>
  <sheetViews>
    <sheetView workbookViewId="0">
      <selection activeCell="K3" sqref="K3"/>
    </sheetView>
  </sheetViews>
  <sheetFormatPr defaultRowHeight="14.4" x14ac:dyDescent="0.3"/>
  <cols>
    <col min="9" max="9" width="14.33203125" customWidth="1"/>
  </cols>
  <sheetData>
    <row r="1" spans="1:12" ht="43.2" x14ac:dyDescent="0.3">
      <c r="A1" s="10" t="s">
        <v>5</v>
      </c>
      <c r="B1" s="3" t="s">
        <v>0</v>
      </c>
      <c r="C1" s="3" t="s">
        <v>1</v>
      </c>
      <c r="D1" s="3" t="s">
        <v>2</v>
      </c>
      <c r="E1" s="3" t="s">
        <v>6</v>
      </c>
      <c r="F1" s="4" t="s">
        <v>3</v>
      </c>
      <c r="J1" t="s">
        <v>9</v>
      </c>
      <c r="K1" t="s">
        <v>10</v>
      </c>
      <c r="L1" t="s">
        <v>11</v>
      </c>
    </row>
    <row r="2" spans="1:12" x14ac:dyDescent="0.3">
      <c r="A2" s="1">
        <f ca="1">INT(RAND()*($K$2-$J$2)+$J$2)</f>
        <v>3</v>
      </c>
      <c r="B2" s="6">
        <f ca="1">A2</f>
        <v>3</v>
      </c>
      <c r="C2" s="1">
        <f ca="1">INT(RAND()*($K$3-$J$3)+$J$3)</f>
        <v>0</v>
      </c>
      <c r="D2" s="6">
        <f ca="1">B2+C2</f>
        <v>3</v>
      </c>
      <c r="E2" s="6">
        <f ca="1">B2-A2</f>
        <v>0</v>
      </c>
      <c r="F2" s="6">
        <f ca="1">A2</f>
        <v>3</v>
      </c>
      <c r="I2" t="s">
        <v>4</v>
      </c>
      <c r="J2">
        <v>0</v>
      </c>
      <c r="K2">
        <v>10</v>
      </c>
      <c r="L2">
        <f>(K2+J2)/2</f>
        <v>5</v>
      </c>
    </row>
    <row r="3" spans="1:12" x14ac:dyDescent="0.3">
      <c r="A3" s="1">
        <f ca="1">A2+INT(RAND()*($K$2-$J$2)+$J$2)</f>
        <v>9</v>
      </c>
      <c r="B3" s="6">
        <f ca="1">MAX(A3,D2)</f>
        <v>9</v>
      </c>
      <c r="C3" s="1">
        <f ca="1">INT(RAND()*($K$3-$J$3)+$J$3)</f>
        <v>0</v>
      </c>
      <c r="D3" s="6">
        <f ca="1">B3+C3</f>
        <v>9</v>
      </c>
      <c r="E3" s="6">
        <f ca="1">B3-A3</f>
        <v>0</v>
      </c>
      <c r="F3" s="6">
        <f ca="1">B3-D2</f>
        <v>6</v>
      </c>
      <c r="I3" t="s">
        <v>1</v>
      </c>
      <c r="J3">
        <v>0</v>
      </c>
      <c r="K3">
        <v>1</v>
      </c>
      <c r="L3">
        <f>(K3+J3)/2</f>
        <v>0.5</v>
      </c>
    </row>
    <row r="4" spans="1:12" x14ac:dyDescent="0.3">
      <c r="A4" s="1">
        <f t="shared" ref="A4:A24" ca="1" si="0">A3+INT(RAND()*($K$2-$J$2)+$J$2)</f>
        <v>15</v>
      </c>
      <c r="B4" s="6">
        <f t="shared" ref="B4:B24" ca="1" si="1">MAX(A4,D3)</f>
        <v>15</v>
      </c>
      <c r="C4" s="1">
        <f t="shared" ref="C4:C66" ca="1" si="2">INT(RAND()*($K$3-$J$3)+$J$3)</f>
        <v>0</v>
      </c>
      <c r="D4" s="6">
        <f ca="1">B4+C4</f>
        <v>15</v>
      </c>
      <c r="E4" s="6">
        <f t="shared" ref="E4:E24" ca="1" si="3">B4-A4</f>
        <v>0</v>
      </c>
      <c r="F4" s="6">
        <f t="shared" ref="F4:F24" ca="1" si="4">B4-D3</f>
        <v>6</v>
      </c>
    </row>
    <row r="5" spans="1:12" x14ac:dyDescent="0.3">
      <c r="A5" s="1">
        <f t="shared" ca="1" si="0"/>
        <v>21</v>
      </c>
      <c r="B5" s="6">
        <f t="shared" ca="1" si="1"/>
        <v>21</v>
      </c>
      <c r="C5" s="1">
        <f t="shared" ca="1" si="2"/>
        <v>0</v>
      </c>
      <c r="D5" s="6">
        <f t="shared" ref="D5:D24" ca="1" si="5">B5+C5</f>
        <v>21</v>
      </c>
      <c r="E5" s="6">
        <f t="shared" ca="1" si="3"/>
        <v>0</v>
      </c>
      <c r="F5" s="6">
        <f t="shared" ca="1" si="4"/>
        <v>6</v>
      </c>
    </row>
    <row r="6" spans="1:12" x14ac:dyDescent="0.3">
      <c r="A6" s="1">
        <f t="shared" ca="1" si="0"/>
        <v>24</v>
      </c>
      <c r="B6" s="6">
        <f t="shared" ca="1" si="1"/>
        <v>24</v>
      </c>
      <c r="C6" s="1">
        <f t="shared" ca="1" si="2"/>
        <v>0</v>
      </c>
      <c r="D6" s="6">
        <f t="shared" ca="1" si="5"/>
        <v>24</v>
      </c>
      <c r="E6" s="6">
        <f t="shared" ca="1" si="3"/>
        <v>0</v>
      </c>
      <c r="F6" s="6">
        <f t="shared" ca="1" si="4"/>
        <v>3</v>
      </c>
    </row>
    <row r="7" spans="1:12" x14ac:dyDescent="0.3">
      <c r="A7" s="1">
        <f t="shared" ca="1" si="0"/>
        <v>31</v>
      </c>
      <c r="B7" s="6">
        <f t="shared" ca="1" si="1"/>
        <v>31</v>
      </c>
      <c r="C7" s="1">
        <f ca="1">INT(RAND()*($K$3-$J$3)+$J$3)</f>
        <v>0</v>
      </c>
      <c r="D7" s="6">
        <f t="shared" ca="1" si="5"/>
        <v>31</v>
      </c>
      <c r="E7" s="6">
        <f t="shared" ca="1" si="3"/>
        <v>0</v>
      </c>
      <c r="F7" s="6">
        <f t="shared" ca="1" si="4"/>
        <v>7</v>
      </c>
    </row>
    <row r="8" spans="1:12" x14ac:dyDescent="0.3">
      <c r="A8" s="1">
        <f t="shared" ca="1" si="0"/>
        <v>32</v>
      </c>
      <c r="B8" s="6">
        <f t="shared" ca="1" si="1"/>
        <v>32</v>
      </c>
      <c r="C8" s="1">
        <f t="shared" ca="1" si="2"/>
        <v>0</v>
      </c>
      <c r="D8" s="6">
        <f t="shared" ca="1" si="5"/>
        <v>32</v>
      </c>
      <c r="E8" s="6">
        <f t="shared" ca="1" si="3"/>
        <v>0</v>
      </c>
      <c r="F8" s="6">
        <f t="shared" ca="1" si="4"/>
        <v>1</v>
      </c>
    </row>
    <row r="9" spans="1:12" x14ac:dyDescent="0.3">
      <c r="A9" s="1">
        <f t="shared" ca="1" si="0"/>
        <v>36</v>
      </c>
      <c r="B9" s="6">
        <f t="shared" ca="1" si="1"/>
        <v>36</v>
      </c>
      <c r="C9" s="1">
        <f t="shared" ca="1" si="2"/>
        <v>0</v>
      </c>
      <c r="D9" s="6">
        <f t="shared" ca="1" si="5"/>
        <v>36</v>
      </c>
      <c r="E9" s="6">
        <f t="shared" ca="1" si="3"/>
        <v>0</v>
      </c>
      <c r="F9" s="6">
        <f t="shared" ca="1" si="4"/>
        <v>4</v>
      </c>
    </row>
    <row r="10" spans="1:12" x14ac:dyDescent="0.3">
      <c r="A10" s="1">
        <f t="shared" ca="1" si="0"/>
        <v>38</v>
      </c>
      <c r="B10" s="6">
        <f t="shared" ca="1" si="1"/>
        <v>38</v>
      </c>
      <c r="C10" s="1">
        <f t="shared" ca="1" si="2"/>
        <v>0</v>
      </c>
      <c r="D10" s="6">
        <f t="shared" ca="1" si="5"/>
        <v>38</v>
      </c>
      <c r="E10" s="6">
        <f t="shared" ca="1" si="3"/>
        <v>0</v>
      </c>
      <c r="F10" s="6">
        <f t="shared" ca="1" si="4"/>
        <v>2</v>
      </c>
    </row>
    <row r="11" spans="1:12" x14ac:dyDescent="0.3">
      <c r="A11" s="1">
        <f t="shared" ca="1" si="0"/>
        <v>40</v>
      </c>
      <c r="B11" s="6">
        <f t="shared" ca="1" si="1"/>
        <v>40</v>
      </c>
      <c r="C11" s="1">
        <f ca="1">INT(RAND()*($K$3-$J$3)+$J$3)</f>
        <v>0</v>
      </c>
      <c r="D11" s="6">
        <f t="shared" ca="1" si="5"/>
        <v>40</v>
      </c>
      <c r="E11" s="6">
        <f t="shared" ca="1" si="3"/>
        <v>0</v>
      </c>
      <c r="F11" s="6">
        <f t="shared" ca="1" si="4"/>
        <v>2</v>
      </c>
    </row>
    <row r="12" spans="1:12" x14ac:dyDescent="0.3">
      <c r="A12" s="1">
        <f t="shared" ca="1" si="0"/>
        <v>48</v>
      </c>
      <c r="B12" s="6">
        <f t="shared" ca="1" si="1"/>
        <v>48</v>
      </c>
      <c r="C12" s="1">
        <f t="shared" ca="1" si="2"/>
        <v>0</v>
      </c>
      <c r="D12" s="6">
        <f t="shared" ca="1" si="5"/>
        <v>48</v>
      </c>
      <c r="E12" s="6">
        <f t="shared" ca="1" si="3"/>
        <v>0</v>
      </c>
      <c r="F12" s="6">
        <f t="shared" ca="1" si="4"/>
        <v>8</v>
      </c>
    </row>
    <row r="13" spans="1:12" x14ac:dyDescent="0.3">
      <c r="A13" s="1">
        <f t="shared" ca="1" si="0"/>
        <v>52</v>
      </c>
      <c r="B13" s="6">
        <f t="shared" ca="1" si="1"/>
        <v>52</v>
      </c>
      <c r="C13" s="1">
        <f t="shared" ca="1" si="2"/>
        <v>0</v>
      </c>
      <c r="D13" s="6">
        <f t="shared" ca="1" si="5"/>
        <v>52</v>
      </c>
      <c r="E13" s="6">
        <f t="shared" ca="1" si="3"/>
        <v>0</v>
      </c>
      <c r="F13" s="6">
        <f t="shared" ca="1" si="4"/>
        <v>4</v>
      </c>
    </row>
    <row r="14" spans="1:12" x14ac:dyDescent="0.3">
      <c r="A14" s="1">
        <f t="shared" ca="1" si="0"/>
        <v>58</v>
      </c>
      <c r="B14" s="6">
        <f t="shared" ca="1" si="1"/>
        <v>58</v>
      </c>
      <c r="C14" s="1">
        <f t="shared" ca="1" si="2"/>
        <v>0</v>
      </c>
      <c r="D14" s="6">
        <f t="shared" ca="1" si="5"/>
        <v>58</v>
      </c>
      <c r="E14" s="6">
        <f t="shared" ca="1" si="3"/>
        <v>0</v>
      </c>
      <c r="F14" s="6">
        <f t="shared" ca="1" si="4"/>
        <v>6</v>
      </c>
    </row>
    <row r="15" spans="1:12" x14ac:dyDescent="0.3">
      <c r="A15" s="1">
        <f t="shared" ca="1" si="0"/>
        <v>60</v>
      </c>
      <c r="B15" s="6">
        <f t="shared" ca="1" si="1"/>
        <v>60</v>
      </c>
      <c r="C15" s="1">
        <f t="shared" ca="1" si="2"/>
        <v>0</v>
      </c>
      <c r="D15" s="6">
        <f t="shared" ca="1" si="5"/>
        <v>60</v>
      </c>
      <c r="E15" s="6">
        <f t="shared" ca="1" si="3"/>
        <v>0</v>
      </c>
      <c r="F15" s="6">
        <f t="shared" ca="1" si="4"/>
        <v>2</v>
      </c>
    </row>
    <row r="16" spans="1:12" x14ac:dyDescent="0.3">
      <c r="A16" s="1">
        <f t="shared" ca="1" si="0"/>
        <v>68</v>
      </c>
      <c r="B16" s="6">
        <f t="shared" ca="1" si="1"/>
        <v>68</v>
      </c>
      <c r="C16" s="1">
        <f t="shared" ca="1" si="2"/>
        <v>0</v>
      </c>
      <c r="D16" s="6">
        <f t="shared" ca="1" si="5"/>
        <v>68</v>
      </c>
      <c r="E16" s="6">
        <f t="shared" ca="1" si="3"/>
        <v>0</v>
      </c>
      <c r="F16" s="6">
        <f t="shared" ca="1" si="4"/>
        <v>8</v>
      </c>
    </row>
    <row r="17" spans="1:6" x14ac:dyDescent="0.3">
      <c r="A17" s="1">
        <f t="shared" ca="1" si="0"/>
        <v>75</v>
      </c>
      <c r="B17" s="6">
        <f t="shared" ca="1" si="1"/>
        <v>75</v>
      </c>
      <c r="C17" s="1">
        <f t="shared" ca="1" si="2"/>
        <v>0</v>
      </c>
      <c r="D17" s="6">
        <f t="shared" ca="1" si="5"/>
        <v>75</v>
      </c>
      <c r="E17" s="6">
        <f t="shared" ca="1" si="3"/>
        <v>0</v>
      </c>
      <c r="F17" s="6">
        <f t="shared" ca="1" si="4"/>
        <v>7</v>
      </c>
    </row>
    <row r="18" spans="1:6" x14ac:dyDescent="0.3">
      <c r="A18" s="1">
        <f t="shared" ca="1" si="0"/>
        <v>79</v>
      </c>
      <c r="B18" s="6">
        <f t="shared" ca="1" si="1"/>
        <v>79</v>
      </c>
      <c r="C18" s="1">
        <f t="shared" ca="1" si="2"/>
        <v>0</v>
      </c>
      <c r="D18" s="6">
        <f t="shared" ca="1" si="5"/>
        <v>79</v>
      </c>
      <c r="E18" s="6">
        <f t="shared" ca="1" si="3"/>
        <v>0</v>
      </c>
      <c r="F18" s="6">
        <f t="shared" ca="1" si="4"/>
        <v>4</v>
      </c>
    </row>
    <row r="19" spans="1:6" x14ac:dyDescent="0.3">
      <c r="A19" s="1">
        <f t="shared" ca="1" si="0"/>
        <v>87</v>
      </c>
      <c r="B19" s="6">
        <f t="shared" ca="1" si="1"/>
        <v>87</v>
      </c>
      <c r="C19" s="1">
        <f t="shared" ca="1" si="2"/>
        <v>0</v>
      </c>
      <c r="D19" s="6">
        <f t="shared" ca="1" si="5"/>
        <v>87</v>
      </c>
      <c r="E19" s="6">
        <f t="shared" ca="1" si="3"/>
        <v>0</v>
      </c>
      <c r="F19" s="6">
        <f t="shared" ca="1" si="4"/>
        <v>8</v>
      </c>
    </row>
    <row r="20" spans="1:6" x14ac:dyDescent="0.3">
      <c r="A20" s="1">
        <f t="shared" ca="1" si="0"/>
        <v>94</v>
      </c>
      <c r="B20" s="6">
        <f t="shared" ca="1" si="1"/>
        <v>94</v>
      </c>
      <c r="C20" s="1">
        <f t="shared" ca="1" si="2"/>
        <v>0</v>
      </c>
      <c r="D20" s="6">
        <f t="shared" ca="1" si="5"/>
        <v>94</v>
      </c>
      <c r="E20" s="6">
        <f t="shared" ca="1" si="3"/>
        <v>0</v>
      </c>
      <c r="F20" s="6">
        <f t="shared" ca="1" si="4"/>
        <v>7</v>
      </c>
    </row>
    <row r="21" spans="1:6" x14ac:dyDescent="0.3">
      <c r="A21" s="1">
        <f t="shared" ca="1" si="0"/>
        <v>101</v>
      </c>
      <c r="B21" s="6">
        <f t="shared" ca="1" si="1"/>
        <v>101</v>
      </c>
      <c r="C21" s="1">
        <f t="shared" ca="1" si="2"/>
        <v>0</v>
      </c>
      <c r="D21" s="6">
        <f t="shared" ca="1" si="5"/>
        <v>101</v>
      </c>
      <c r="E21" s="6">
        <f t="shared" ca="1" si="3"/>
        <v>0</v>
      </c>
      <c r="F21" s="6">
        <f t="shared" ca="1" si="4"/>
        <v>7</v>
      </c>
    </row>
    <row r="22" spans="1:6" x14ac:dyDescent="0.3">
      <c r="A22" s="1">
        <f t="shared" ca="1" si="0"/>
        <v>104</v>
      </c>
      <c r="B22" s="6">
        <f t="shared" ca="1" si="1"/>
        <v>104</v>
      </c>
      <c r="C22" s="1">
        <f t="shared" ca="1" si="2"/>
        <v>0</v>
      </c>
      <c r="D22" s="6">
        <f t="shared" ca="1" si="5"/>
        <v>104</v>
      </c>
      <c r="E22" s="6">
        <f t="shared" ca="1" si="3"/>
        <v>0</v>
      </c>
      <c r="F22" s="6">
        <f t="shared" ca="1" si="4"/>
        <v>3</v>
      </c>
    </row>
    <row r="23" spans="1:6" x14ac:dyDescent="0.3">
      <c r="A23" s="1">
        <f t="shared" ca="1" si="0"/>
        <v>110</v>
      </c>
      <c r="B23" s="6">
        <f t="shared" ca="1" si="1"/>
        <v>110</v>
      </c>
      <c r="C23" s="1">
        <f t="shared" ca="1" si="2"/>
        <v>0</v>
      </c>
      <c r="D23" s="6">
        <f t="shared" ca="1" si="5"/>
        <v>110</v>
      </c>
      <c r="E23" s="6">
        <f t="shared" ca="1" si="3"/>
        <v>0</v>
      </c>
      <c r="F23" s="6">
        <f t="shared" ca="1" si="4"/>
        <v>6</v>
      </c>
    </row>
    <row r="24" spans="1:6" x14ac:dyDescent="0.3">
      <c r="A24" s="1">
        <f t="shared" ca="1" si="0"/>
        <v>115</v>
      </c>
      <c r="B24" s="6">
        <f t="shared" ca="1" si="1"/>
        <v>115</v>
      </c>
      <c r="C24" s="1">
        <f t="shared" ca="1" si="2"/>
        <v>0</v>
      </c>
      <c r="D24" s="6">
        <f t="shared" ca="1" si="5"/>
        <v>115</v>
      </c>
      <c r="E24" s="6">
        <f t="shared" ca="1" si="3"/>
        <v>0</v>
      </c>
      <c r="F24" s="6">
        <f t="shared" ca="1" si="4"/>
        <v>5</v>
      </c>
    </row>
    <row r="25" spans="1:6" x14ac:dyDescent="0.3">
      <c r="A25" s="1">
        <f t="shared" ref="A25:A31" ca="1" si="6">A24+INT(RAND()*($K$2-$J$2)+$J$2)</f>
        <v>122</v>
      </c>
      <c r="B25" s="6">
        <f t="shared" ref="B25:B31" ca="1" si="7">MAX(A25,D24)</f>
        <v>122</v>
      </c>
      <c r="C25" s="1">
        <f t="shared" ca="1" si="2"/>
        <v>0</v>
      </c>
      <c r="D25" s="6">
        <f t="shared" ref="D25:D31" ca="1" si="8">B25+C25</f>
        <v>122</v>
      </c>
      <c r="E25" s="6">
        <f t="shared" ref="E25:E31" ca="1" si="9">B25-A25</f>
        <v>0</v>
      </c>
      <c r="F25" s="6">
        <f t="shared" ref="F25:F31" ca="1" si="10">B25-D24</f>
        <v>7</v>
      </c>
    </row>
    <row r="26" spans="1:6" x14ac:dyDescent="0.3">
      <c r="A26" s="1">
        <f t="shared" ca="1" si="6"/>
        <v>126</v>
      </c>
      <c r="B26" s="6">
        <f t="shared" ca="1" si="7"/>
        <v>126</v>
      </c>
      <c r="C26" s="1">
        <f t="shared" ca="1" si="2"/>
        <v>0</v>
      </c>
      <c r="D26" s="6">
        <f t="shared" ca="1" si="8"/>
        <v>126</v>
      </c>
      <c r="E26" s="6">
        <f t="shared" ca="1" si="9"/>
        <v>0</v>
      </c>
      <c r="F26" s="6">
        <f t="shared" ca="1" si="10"/>
        <v>4</v>
      </c>
    </row>
    <row r="27" spans="1:6" x14ac:dyDescent="0.3">
      <c r="A27" s="1">
        <f t="shared" ca="1" si="6"/>
        <v>127</v>
      </c>
      <c r="B27" s="6">
        <f t="shared" ca="1" si="7"/>
        <v>127</v>
      </c>
      <c r="C27" s="1">
        <f t="shared" ca="1" si="2"/>
        <v>0</v>
      </c>
      <c r="D27" s="6">
        <f t="shared" ca="1" si="8"/>
        <v>127</v>
      </c>
      <c r="E27" s="6">
        <f t="shared" ca="1" si="9"/>
        <v>0</v>
      </c>
      <c r="F27" s="6">
        <f t="shared" ca="1" si="10"/>
        <v>1</v>
      </c>
    </row>
    <row r="28" spans="1:6" x14ac:dyDescent="0.3">
      <c r="A28" s="1">
        <f t="shared" ca="1" si="6"/>
        <v>130</v>
      </c>
      <c r="B28" s="6">
        <f t="shared" ca="1" si="7"/>
        <v>130</v>
      </c>
      <c r="C28" s="1">
        <f t="shared" ca="1" si="2"/>
        <v>0</v>
      </c>
      <c r="D28" s="6">
        <f t="shared" ca="1" si="8"/>
        <v>130</v>
      </c>
      <c r="E28" s="6">
        <f t="shared" ca="1" si="9"/>
        <v>0</v>
      </c>
      <c r="F28" s="6">
        <f t="shared" ca="1" si="10"/>
        <v>3</v>
      </c>
    </row>
    <row r="29" spans="1:6" x14ac:dyDescent="0.3">
      <c r="A29" s="1">
        <f t="shared" ca="1" si="6"/>
        <v>136</v>
      </c>
      <c r="B29" s="6">
        <f t="shared" ca="1" si="7"/>
        <v>136</v>
      </c>
      <c r="C29" s="1">
        <f t="shared" ca="1" si="2"/>
        <v>0</v>
      </c>
      <c r="D29" s="6">
        <f t="shared" ca="1" si="8"/>
        <v>136</v>
      </c>
      <c r="E29" s="6">
        <f t="shared" ca="1" si="9"/>
        <v>0</v>
      </c>
      <c r="F29" s="6">
        <f t="shared" ca="1" si="10"/>
        <v>6</v>
      </c>
    </row>
    <row r="30" spans="1:6" x14ac:dyDescent="0.3">
      <c r="A30" s="1">
        <f t="shared" ca="1" si="6"/>
        <v>145</v>
      </c>
      <c r="B30" s="6">
        <f t="shared" ca="1" si="7"/>
        <v>145</v>
      </c>
      <c r="C30" s="1">
        <f t="shared" ca="1" si="2"/>
        <v>0</v>
      </c>
      <c r="D30" s="6">
        <f t="shared" ca="1" si="8"/>
        <v>145</v>
      </c>
      <c r="E30" s="6">
        <f t="shared" ca="1" si="9"/>
        <v>0</v>
      </c>
      <c r="F30" s="6">
        <f t="shared" ca="1" si="10"/>
        <v>9</v>
      </c>
    </row>
    <row r="31" spans="1:6" x14ac:dyDescent="0.3">
      <c r="A31" s="1">
        <f t="shared" ca="1" si="6"/>
        <v>146</v>
      </c>
      <c r="B31" s="6">
        <f t="shared" ca="1" si="7"/>
        <v>146</v>
      </c>
      <c r="C31" s="1">
        <f t="shared" ca="1" si="2"/>
        <v>0</v>
      </c>
      <c r="D31" s="6">
        <f t="shared" ca="1" si="8"/>
        <v>146</v>
      </c>
      <c r="E31" s="6">
        <f t="shared" ca="1" si="9"/>
        <v>0</v>
      </c>
      <c r="F31" s="6">
        <f t="shared" ca="1" si="10"/>
        <v>1</v>
      </c>
    </row>
    <row r="32" spans="1:6" x14ac:dyDescent="0.3">
      <c r="A32" s="1">
        <f t="shared" ref="A32:A47" ca="1" si="11">A31+INT(RAND()*($K$2-$J$2)+$J$2)</f>
        <v>153</v>
      </c>
      <c r="B32" s="6">
        <f t="shared" ref="B32:B47" ca="1" si="12">MAX(A32,D31)</f>
        <v>153</v>
      </c>
      <c r="C32" s="1">
        <f t="shared" ca="1" si="2"/>
        <v>0</v>
      </c>
      <c r="D32" s="6">
        <f t="shared" ref="D32:D47" ca="1" si="13">B32+C32</f>
        <v>153</v>
      </c>
      <c r="E32" s="6">
        <f t="shared" ref="E32:E47" ca="1" si="14">B32-A32</f>
        <v>0</v>
      </c>
      <c r="F32" s="6">
        <f t="shared" ref="F32:F47" ca="1" si="15">B32-D31</f>
        <v>7</v>
      </c>
    </row>
    <row r="33" spans="1:6" x14ac:dyDescent="0.3">
      <c r="A33" s="1">
        <f t="shared" ca="1" si="11"/>
        <v>156</v>
      </c>
      <c r="B33" s="6">
        <f t="shared" ca="1" si="12"/>
        <v>156</v>
      </c>
      <c r="C33" s="1">
        <f t="shared" ca="1" si="2"/>
        <v>0</v>
      </c>
      <c r="D33" s="6">
        <f t="shared" ca="1" si="13"/>
        <v>156</v>
      </c>
      <c r="E33" s="6">
        <f t="shared" ca="1" si="14"/>
        <v>0</v>
      </c>
      <c r="F33" s="6">
        <f t="shared" ca="1" si="15"/>
        <v>3</v>
      </c>
    </row>
    <row r="34" spans="1:6" x14ac:dyDescent="0.3">
      <c r="A34" s="1">
        <f t="shared" ca="1" si="11"/>
        <v>157</v>
      </c>
      <c r="B34" s="6">
        <f t="shared" ca="1" si="12"/>
        <v>157</v>
      </c>
      <c r="C34" s="1">
        <f t="shared" ca="1" si="2"/>
        <v>0</v>
      </c>
      <c r="D34" s="6">
        <f t="shared" ca="1" si="13"/>
        <v>157</v>
      </c>
      <c r="E34" s="6">
        <f t="shared" ca="1" si="14"/>
        <v>0</v>
      </c>
      <c r="F34" s="6">
        <f t="shared" ca="1" si="15"/>
        <v>1</v>
      </c>
    </row>
    <row r="35" spans="1:6" x14ac:dyDescent="0.3">
      <c r="A35" s="1">
        <f t="shared" ca="1" si="11"/>
        <v>160</v>
      </c>
      <c r="B35" s="6">
        <f t="shared" ca="1" si="12"/>
        <v>160</v>
      </c>
      <c r="C35" s="1">
        <f t="shared" ca="1" si="2"/>
        <v>0</v>
      </c>
      <c r="D35" s="6">
        <f t="shared" ca="1" si="13"/>
        <v>160</v>
      </c>
      <c r="E35" s="6">
        <f t="shared" ca="1" si="14"/>
        <v>0</v>
      </c>
      <c r="F35" s="6">
        <f t="shared" ca="1" si="15"/>
        <v>3</v>
      </c>
    </row>
    <row r="36" spans="1:6" x14ac:dyDescent="0.3">
      <c r="A36" s="1">
        <f t="shared" ca="1" si="11"/>
        <v>163</v>
      </c>
      <c r="B36" s="6">
        <f t="shared" ca="1" si="12"/>
        <v>163</v>
      </c>
      <c r="C36" s="1">
        <f t="shared" ca="1" si="2"/>
        <v>0</v>
      </c>
      <c r="D36" s="6">
        <f t="shared" ca="1" si="13"/>
        <v>163</v>
      </c>
      <c r="E36" s="6">
        <f t="shared" ca="1" si="14"/>
        <v>0</v>
      </c>
      <c r="F36" s="6">
        <f t="shared" ca="1" si="15"/>
        <v>3</v>
      </c>
    </row>
    <row r="37" spans="1:6" x14ac:dyDescent="0.3">
      <c r="A37" s="1">
        <f t="shared" ca="1" si="11"/>
        <v>169</v>
      </c>
      <c r="B37" s="6">
        <f t="shared" ca="1" si="12"/>
        <v>169</v>
      </c>
      <c r="C37" s="1">
        <f t="shared" ca="1" si="2"/>
        <v>0</v>
      </c>
      <c r="D37" s="6">
        <f t="shared" ca="1" si="13"/>
        <v>169</v>
      </c>
      <c r="E37" s="6">
        <f t="shared" ca="1" si="14"/>
        <v>0</v>
      </c>
      <c r="F37" s="6">
        <f t="shared" ca="1" si="15"/>
        <v>6</v>
      </c>
    </row>
    <row r="38" spans="1:6" x14ac:dyDescent="0.3">
      <c r="A38" s="1">
        <f t="shared" ca="1" si="11"/>
        <v>178</v>
      </c>
      <c r="B38" s="6">
        <f t="shared" ca="1" si="12"/>
        <v>178</v>
      </c>
      <c r="C38" s="1">
        <f t="shared" ca="1" si="2"/>
        <v>0</v>
      </c>
      <c r="D38" s="6">
        <f t="shared" ca="1" si="13"/>
        <v>178</v>
      </c>
      <c r="E38" s="6">
        <f t="shared" ca="1" si="14"/>
        <v>0</v>
      </c>
      <c r="F38" s="6">
        <f t="shared" ca="1" si="15"/>
        <v>9</v>
      </c>
    </row>
    <row r="39" spans="1:6" x14ac:dyDescent="0.3">
      <c r="A39" s="1">
        <f t="shared" ca="1" si="11"/>
        <v>179</v>
      </c>
      <c r="B39" s="6">
        <f t="shared" ca="1" si="12"/>
        <v>179</v>
      </c>
      <c r="C39" s="1">
        <f t="shared" ca="1" si="2"/>
        <v>0</v>
      </c>
      <c r="D39" s="6">
        <f t="shared" ca="1" si="13"/>
        <v>179</v>
      </c>
      <c r="E39" s="6">
        <f t="shared" ca="1" si="14"/>
        <v>0</v>
      </c>
      <c r="F39" s="6">
        <f t="shared" ca="1" si="15"/>
        <v>1</v>
      </c>
    </row>
    <row r="40" spans="1:6" x14ac:dyDescent="0.3">
      <c r="A40" s="1">
        <f t="shared" ca="1" si="11"/>
        <v>180</v>
      </c>
      <c r="B40" s="6">
        <f t="shared" ca="1" si="12"/>
        <v>180</v>
      </c>
      <c r="C40" s="1">
        <f t="shared" ca="1" si="2"/>
        <v>0</v>
      </c>
      <c r="D40" s="6">
        <f t="shared" ca="1" si="13"/>
        <v>180</v>
      </c>
      <c r="E40" s="6">
        <f t="shared" ca="1" si="14"/>
        <v>0</v>
      </c>
      <c r="F40" s="6">
        <f t="shared" ca="1" si="15"/>
        <v>1</v>
      </c>
    </row>
    <row r="41" spans="1:6" x14ac:dyDescent="0.3">
      <c r="A41" s="1">
        <f t="shared" ca="1" si="11"/>
        <v>186</v>
      </c>
      <c r="B41" s="6">
        <f t="shared" ca="1" si="12"/>
        <v>186</v>
      </c>
      <c r="C41" s="1">
        <f t="shared" ca="1" si="2"/>
        <v>0</v>
      </c>
      <c r="D41" s="6">
        <f t="shared" ca="1" si="13"/>
        <v>186</v>
      </c>
      <c r="E41" s="6">
        <f t="shared" ca="1" si="14"/>
        <v>0</v>
      </c>
      <c r="F41" s="6">
        <f t="shared" ca="1" si="15"/>
        <v>6</v>
      </c>
    </row>
    <row r="42" spans="1:6" x14ac:dyDescent="0.3">
      <c r="A42" s="1">
        <f t="shared" ca="1" si="11"/>
        <v>188</v>
      </c>
      <c r="B42" s="6">
        <f t="shared" ca="1" si="12"/>
        <v>188</v>
      </c>
      <c r="C42" s="1">
        <f t="shared" ca="1" si="2"/>
        <v>0</v>
      </c>
      <c r="D42" s="6">
        <f t="shared" ca="1" si="13"/>
        <v>188</v>
      </c>
      <c r="E42" s="6">
        <f t="shared" ca="1" si="14"/>
        <v>0</v>
      </c>
      <c r="F42" s="6">
        <f t="shared" ca="1" si="15"/>
        <v>2</v>
      </c>
    </row>
    <row r="43" spans="1:6" x14ac:dyDescent="0.3">
      <c r="A43" s="1">
        <f t="shared" ca="1" si="11"/>
        <v>188</v>
      </c>
      <c r="B43" s="6">
        <f t="shared" ca="1" si="12"/>
        <v>188</v>
      </c>
      <c r="C43" s="1">
        <f t="shared" ca="1" si="2"/>
        <v>0</v>
      </c>
      <c r="D43" s="6">
        <f t="shared" ca="1" si="13"/>
        <v>188</v>
      </c>
      <c r="E43" s="6">
        <f t="shared" ca="1" si="14"/>
        <v>0</v>
      </c>
      <c r="F43" s="6">
        <f t="shared" ca="1" si="15"/>
        <v>0</v>
      </c>
    </row>
    <row r="44" spans="1:6" x14ac:dyDescent="0.3">
      <c r="A44" s="1">
        <f t="shared" ca="1" si="11"/>
        <v>197</v>
      </c>
      <c r="B44" s="6">
        <f t="shared" ca="1" si="12"/>
        <v>197</v>
      </c>
      <c r="C44" s="1">
        <f t="shared" ca="1" si="2"/>
        <v>0</v>
      </c>
      <c r="D44" s="6">
        <f t="shared" ca="1" si="13"/>
        <v>197</v>
      </c>
      <c r="E44" s="6">
        <f t="shared" ca="1" si="14"/>
        <v>0</v>
      </c>
      <c r="F44" s="6">
        <f t="shared" ca="1" si="15"/>
        <v>9</v>
      </c>
    </row>
    <row r="45" spans="1:6" x14ac:dyDescent="0.3">
      <c r="A45" s="1">
        <f t="shared" ca="1" si="11"/>
        <v>204</v>
      </c>
      <c r="B45" s="6">
        <f t="shared" ca="1" si="12"/>
        <v>204</v>
      </c>
      <c r="C45" s="1">
        <f t="shared" ca="1" si="2"/>
        <v>0</v>
      </c>
      <c r="D45" s="6">
        <f t="shared" ca="1" si="13"/>
        <v>204</v>
      </c>
      <c r="E45" s="6">
        <f t="shared" ca="1" si="14"/>
        <v>0</v>
      </c>
      <c r="F45" s="6">
        <f t="shared" ca="1" si="15"/>
        <v>7</v>
      </c>
    </row>
    <row r="46" spans="1:6" x14ac:dyDescent="0.3">
      <c r="A46" s="1">
        <f t="shared" ca="1" si="11"/>
        <v>205</v>
      </c>
      <c r="B46" s="6">
        <f t="shared" ca="1" si="12"/>
        <v>205</v>
      </c>
      <c r="C46" s="1">
        <f t="shared" ca="1" si="2"/>
        <v>0</v>
      </c>
      <c r="D46" s="6">
        <f t="shared" ca="1" si="13"/>
        <v>205</v>
      </c>
      <c r="E46" s="6">
        <f t="shared" ca="1" si="14"/>
        <v>0</v>
      </c>
      <c r="F46" s="6">
        <f t="shared" ca="1" si="15"/>
        <v>1</v>
      </c>
    </row>
    <row r="47" spans="1:6" x14ac:dyDescent="0.3">
      <c r="A47" s="1">
        <f t="shared" ca="1" si="11"/>
        <v>207</v>
      </c>
      <c r="B47" s="6">
        <f t="shared" ca="1" si="12"/>
        <v>207</v>
      </c>
      <c r="C47" s="1">
        <f t="shared" ca="1" si="2"/>
        <v>0</v>
      </c>
      <c r="D47" s="6">
        <f t="shared" ca="1" si="13"/>
        <v>207</v>
      </c>
      <c r="E47" s="6">
        <f t="shared" ca="1" si="14"/>
        <v>0</v>
      </c>
      <c r="F47" s="6">
        <f t="shared" ca="1" si="15"/>
        <v>2</v>
      </c>
    </row>
    <row r="48" spans="1:6" x14ac:dyDescent="0.3">
      <c r="A48" s="1">
        <f t="shared" ref="A48:A109" ca="1" si="16">A47+INT(RAND()*($K$2-$J$2)+$J$2)</f>
        <v>210</v>
      </c>
      <c r="B48" s="6">
        <f t="shared" ref="B48:B109" ca="1" si="17">MAX(A48,D47)</f>
        <v>210</v>
      </c>
      <c r="C48" s="1">
        <f t="shared" ca="1" si="2"/>
        <v>0</v>
      </c>
      <c r="D48" s="6">
        <f t="shared" ref="D48:D109" ca="1" si="18">B48+C48</f>
        <v>210</v>
      </c>
      <c r="E48" s="6">
        <f t="shared" ref="E48:E109" ca="1" si="19">B48-A48</f>
        <v>0</v>
      </c>
      <c r="F48" s="6">
        <f t="shared" ref="F48:F109" ca="1" si="20">B48-D47</f>
        <v>3</v>
      </c>
    </row>
    <row r="49" spans="1:6" x14ac:dyDescent="0.3">
      <c r="A49" s="1">
        <f t="shared" ca="1" si="16"/>
        <v>212</v>
      </c>
      <c r="B49" s="6">
        <f t="shared" ca="1" si="17"/>
        <v>212</v>
      </c>
      <c r="C49" s="1">
        <f t="shared" ca="1" si="2"/>
        <v>0</v>
      </c>
      <c r="D49" s="6">
        <f t="shared" ca="1" si="18"/>
        <v>212</v>
      </c>
      <c r="E49" s="6">
        <f t="shared" ca="1" si="19"/>
        <v>0</v>
      </c>
      <c r="F49" s="6">
        <f t="shared" ca="1" si="20"/>
        <v>2</v>
      </c>
    </row>
    <row r="50" spans="1:6" x14ac:dyDescent="0.3">
      <c r="A50" s="1">
        <f t="shared" ca="1" si="16"/>
        <v>216</v>
      </c>
      <c r="B50" s="6">
        <f t="shared" ca="1" si="17"/>
        <v>216</v>
      </c>
      <c r="C50" s="1">
        <f t="shared" ca="1" si="2"/>
        <v>0</v>
      </c>
      <c r="D50" s="6">
        <f t="shared" ca="1" si="18"/>
        <v>216</v>
      </c>
      <c r="E50" s="6">
        <f t="shared" ca="1" si="19"/>
        <v>0</v>
      </c>
      <c r="F50" s="6">
        <f t="shared" ca="1" si="20"/>
        <v>4</v>
      </c>
    </row>
    <row r="51" spans="1:6" x14ac:dyDescent="0.3">
      <c r="A51" s="1">
        <f t="shared" ca="1" si="16"/>
        <v>223</v>
      </c>
      <c r="B51" s="6">
        <f t="shared" ca="1" si="17"/>
        <v>223</v>
      </c>
      <c r="C51" s="1">
        <f t="shared" ca="1" si="2"/>
        <v>0</v>
      </c>
      <c r="D51" s="6">
        <f t="shared" ca="1" si="18"/>
        <v>223</v>
      </c>
      <c r="E51" s="6">
        <f t="shared" ca="1" si="19"/>
        <v>0</v>
      </c>
      <c r="F51" s="6">
        <f t="shared" ca="1" si="20"/>
        <v>7</v>
      </c>
    </row>
    <row r="52" spans="1:6" x14ac:dyDescent="0.3">
      <c r="A52" s="1">
        <f t="shared" ca="1" si="16"/>
        <v>227</v>
      </c>
      <c r="B52" s="6">
        <f t="shared" ca="1" si="17"/>
        <v>227</v>
      </c>
      <c r="C52" s="1">
        <f t="shared" ca="1" si="2"/>
        <v>0</v>
      </c>
      <c r="D52" s="6">
        <f t="shared" ca="1" si="18"/>
        <v>227</v>
      </c>
      <c r="E52" s="6">
        <f t="shared" ca="1" si="19"/>
        <v>0</v>
      </c>
      <c r="F52" s="6">
        <f t="shared" ca="1" si="20"/>
        <v>4</v>
      </c>
    </row>
    <row r="53" spans="1:6" x14ac:dyDescent="0.3">
      <c r="A53" s="1">
        <f t="shared" ca="1" si="16"/>
        <v>236</v>
      </c>
      <c r="B53" s="6">
        <f t="shared" ca="1" si="17"/>
        <v>236</v>
      </c>
      <c r="C53" s="1">
        <f t="shared" ca="1" si="2"/>
        <v>0</v>
      </c>
      <c r="D53" s="6">
        <f t="shared" ca="1" si="18"/>
        <v>236</v>
      </c>
      <c r="E53" s="6">
        <f t="shared" ca="1" si="19"/>
        <v>0</v>
      </c>
      <c r="F53" s="6">
        <f t="shared" ca="1" si="20"/>
        <v>9</v>
      </c>
    </row>
    <row r="54" spans="1:6" x14ac:dyDescent="0.3">
      <c r="A54" s="1">
        <f t="shared" ca="1" si="16"/>
        <v>236</v>
      </c>
      <c r="B54" s="6">
        <f t="shared" ca="1" si="17"/>
        <v>236</v>
      </c>
      <c r="C54" s="1">
        <f t="shared" ca="1" si="2"/>
        <v>0</v>
      </c>
      <c r="D54" s="6">
        <f t="shared" ca="1" si="18"/>
        <v>236</v>
      </c>
      <c r="E54" s="6">
        <f t="shared" ca="1" si="19"/>
        <v>0</v>
      </c>
      <c r="F54" s="6">
        <f t="shared" ca="1" si="20"/>
        <v>0</v>
      </c>
    </row>
    <row r="55" spans="1:6" x14ac:dyDescent="0.3">
      <c r="A55" s="1">
        <f t="shared" ca="1" si="16"/>
        <v>244</v>
      </c>
      <c r="B55" s="6">
        <f t="shared" ca="1" si="17"/>
        <v>244</v>
      </c>
      <c r="C55" s="1">
        <f t="shared" ca="1" si="2"/>
        <v>0</v>
      </c>
      <c r="D55" s="6">
        <f t="shared" ca="1" si="18"/>
        <v>244</v>
      </c>
      <c r="E55" s="6">
        <f t="shared" ca="1" si="19"/>
        <v>0</v>
      </c>
      <c r="F55" s="6">
        <f t="shared" ca="1" si="20"/>
        <v>8</v>
      </c>
    </row>
    <row r="56" spans="1:6" x14ac:dyDescent="0.3">
      <c r="A56" s="1">
        <f t="shared" ca="1" si="16"/>
        <v>247</v>
      </c>
      <c r="B56" s="6">
        <f t="shared" ca="1" si="17"/>
        <v>247</v>
      </c>
      <c r="C56" s="1">
        <f t="shared" ca="1" si="2"/>
        <v>0</v>
      </c>
      <c r="D56" s="6">
        <f t="shared" ca="1" si="18"/>
        <v>247</v>
      </c>
      <c r="E56" s="6">
        <f t="shared" ca="1" si="19"/>
        <v>0</v>
      </c>
      <c r="F56" s="6">
        <f t="shared" ca="1" si="20"/>
        <v>3</v>
      </c>
    </row>
    <row r="57" spans="1:6" x14ac:dyDescent="0.3">
      <c r="A57" s="1">
        <f t="shared" ca="1" si="16"/>
        <v>249</v>
      </c>
      <c r="B57" s="6">
        <f t="shared" ca="1" si="17"/>
        <v>249</v>
      </c>
      <c r="C57" s="1">
        <f t="shared" ca="1" si="2"/>
        <v>0</v>
      </c>
      <c r="D57" s="6">
        <f t="shared" ca="1" si="18"/>
        <v>249</v>
      </c>
      <c r="E57" s="6">
        <f t="shared" ca="1" si="19"/>
        <v>0</v>
      </c>
      <c r="F57" s="6">
        <f t="shared" ca="1" si="20"/>
        <v>2</v>
      </c>
    </row>
    <row r="58" spans="1:6" x14ac:dyDescent="0.3">
      <c r="A58" s="1">
        <f t="shared" ca="1" si="16"/>
        <v>258</v>
      </c>
      <c r="B58" s="6">
        <f t="shared" ca="1" si="17"/>
        <v>258</v>
      </c>
      <c r="C58" s="1">
        <f t="shared" ca="1" si="2"/>
        <v>0</v>
      </c>
      <c r="D58" s="6">
        <f t="shared" ca="1" si="18"/>
        <v>258</v>
      </c>
      <c r="E58" s="6">
        <f t="shared" ca="1" si="19"/>
        <v>0</v>
      </c>
      <c r="F58" s="6">
        <f t="shared" ca="1" si="20"/>
        <v>9</v>
      </c>
    </row>
    <row r="59" spans="1:6" x14ac:dyDescent="0.3">
      <c r="A59" s="1">
        <f t="shared" ca="1" si="16"/>
        <v>259</v>
      </c>
      <c r="B59" s="6">
        <f t="shared" ca="1" si="17"/>
        <v>259</v>
      </c>
      <c r="C59" s="1">
        <f t="shared" ca="1" si="2"/>
        <v>0</v>
      </c>
      <c r="D59" s="6">
        <f t="shared" ca="1" si="18"/>
        <v>259</v>
      </c>
      <c r="E59" s="6">
        <f t="shared" ca="1" si="19"/>
        <v>0</v>
      </c>
      <c r="F59" s="6">
        <f t="shared" ca="1" si="20"/>
        <v>1</v>
      </c>
    </row>
    <row r="60" spans="1:6" x14ac:dyDescent="0.3">
      <c r="A60" s="1">
        <f t="shared" ca="1" si="16"/>
        <v>261</v>
      </c>
      <c r="B60" s="6">
        <f t="shared" ca="1" si="17"/>
        <v>261</v>
      </c>
      <c r="C60" s="1">
        <f t="shared" ca="1" si="2"/>
        <v>0</v>
      </c>
      <c r="D60" s="6">
        <f t="shared" ca="1" si="18"/>
        <v>261</v>
      </c>
      <c r="E60" s="6">
        <f t="shared" ca="1" si="19"/>
        <v>0</v>
      </c>
      <c r="F60" s="6">
        <f t="shared" ca="1" si="20"/>
        <v>2</v>
      </c>
    </row>
    <row r="61" spans="1:6" x14ac:dyDescent="0.3">
      <c r="A61" s="1">
        <f t="shared" ca="1" si="16"/>
        <v>267</v>
      </c>
      <c r="B61" s="6">
        <f t="shared" ca="1" si="17"/>
        <v>267</v>
      </c>
      <c r="C61" s="1">
        <f t="shared" ca="1" si="2"/>
        <v>0</v>
      </c>
      <c r="D61" s="6">
        <f t="shared" ca="1" si="18"/>
        <v>267</v>
      </c>
      <c r="E61" s="6">
        <f t="shared" ca="1" si="19"/>
        <v>0</v>
      </c>
      <c r="F61" s="6">
        <f t="shared" ca="1" si="20"/>
        <v>6</v>
      </c>
    </row>
    <row r="62" spans="1:6" x14ac:dyDescent="0.3">
      <c r="A62" s="1">
        <f t="shared" ca="1" si="16"/>
        <v>276</v>
      </c>
      <c r="B62" s="6">
        <f t="shared" ca="1" si="17"/>
        <v>276</v>
      </c>
      <c r="C62" s="1">
        <f t="shared" ca="1" si="2"/>
        <v>0</v>
      </c>
      <c r="D62" s="6">
        <f t="shared" ca="1" si="18"/>
        <v>276</v>
      </c>
      <c r="E62" s="6">
        <f t="shared" ca="1" si="19"/>
        <v>0</v>
      </c>
      <c r="F62" s="6">
        <f t="shared" ca="1" si="20"/>
        <v>9</v>
      </c>
    </row>
    <row r="63" spans="1:6" x14ac:dyDescent="0.3">
      <c r="A63" s="1">
        <f t="shared" ca="1" si="16"/>
        <v>279</v>
      </c>
      <c r="B63" s="6">
        <f t="shared" ca="1" si="17"/>
        <v>279</v>
      </c>
      <c r="C63" s="1">
        <f t="shared" ca="1" si="2"/>
        <v>0</v>
      </c>
      <c r="D63" s="6">
        <f t="shared" ca="1" si="18"/>
        <v>279</v>
      </c>
      <c r="E63" s="6">
        <f t="shared" ca="1" si="19"/>
        <v>0</v>
      </c>
      <c r="F63" s="6">
        <f t="shared" ca="1" si="20"/>
        <v>3</v>
      </c>
    </row>
    <row r="64" spans="1:6" x14ac:dyDescent="0.3">
      <c r="A64" s="1">
        <f t="shared" ca="1" si="16"/>
        <v>285</v>
      </c>
      <c r="B64" s="6">
        <f t="shared" ca="1" si="17"/>
        <v>285</v>
      </c>
      <c r="C64" s="1">
        <f t="shared" ca="1" si="2"/>
        <v>0</v>
      </c>
      <c r="D64" s="6">
        <f t="shared" ca="1" si="18"/>
        <v>285</v>
      </c>
      <c r="E64" s="6">
        <f t="shared" ca="1" si="19"/>
        <v>0</v>
      </c>
      <c r="F64" s="6">
        <f t="shared" ca="1" si="20"/>
        <v>6</v>
      </c>
    </row>
    <row r="65" spans="1:6" x14ac:dyDescent="0.3">
      <c r="A65" s="1">
        <f t="shared" ca="1" si="16"/>
        <v>294</v>
      </c>
      <c r="B65" s="6">
        <f t="shared" ca="1" si="17"/>
        <v>294</v>
      </c>
      <c r="C65" s="1">
        <f t="shared" ca="1" si="2"/>
        <v>0</v>
      </c>
      <c r="D65" s="6">
        <f t="shared" ca="1" si="18"/>
        <v>294</v>
      </c>
      <c r="E65" s="6">
        <f t="shared" ca="1" si="19"/>
        <v>0</v>
      </c>
      <c r="F65" s="6">
        <f t="shared" ca="1" si="20"/>
        <v>9</v>
      </c>
    </row>
    <row r="66" spans="1:6" x14ac:dyDescent="0.3">
      <c r="A66" s="1">
        <f t="shared" ca="1" si="16"/>
        <v>298</v>
      </c>
      <c r="B66" s="6">
        <f t="shared" ca="1" si="17"/>
        <v>298</v>
      </c>
      <c r="C66" s="1">
        <f t="shared" ca="1" si="2"/>
        <v>0</v>
      </c>
      <c r="D66" s="6">
        <f t="shared" ca="1" si="18"/>
        <v>298</v>
      </c>
      <c r="E66" s="6">
        <f t="shared" ca="1" si="19"/>
        <v>0</v>
      </c>
      <c r="F66" s="6">
        <f t="shared" ca="1" si="20"/>
        <v>4</v>
      </c>
    </row>
    <row r="67" spans="1:6" x14ac:dyDescent="0.3">
      <c r="A67" s="1">
        <f t="shared" ca="1" si="16"/>
        <v>299</v>
      </c>
      <c r="B67" s="6">
        <f t="shared" ca="1" si="17"/>
        <v>299</v>
      </c>
      <c r="C67" s="1">
        <f t="shared" ref="C67:C109" ca="1" si="21">INT(RAND()*($K$3-$J$3)+$J$3)</f>
        <v>0</v>
      </c>
      <c r="D67" s="6">
        <f t="shared" ca="1" si="18"/>
        <v>299</v>
      </c>
      <c r="E67" s="6">
        <f t="shared" ca="1" si="19"/>
        <v>0</v>
      </c>
      <c r="F67" s="6">
        <f t="shared" ca="1" si="20"/>
        <v>1</v>
      </c>
    </row>
    <row r="68" spans="1:6" x14ac:dyDescent="0.3">
      <c r="A68" s="1">
        <f t="shared" ca="1" si="16"/>
        <v>302</v>
      </c>
      <c r="B68" s="6">
        <f t="shared" ca="1" si="17"/>
        <v>302</v>
      </c>
      <c r="C68" s="1">
        <f t="shared" ca="1" si="21"/>
        <v>0</v>
      </c>
      <c r="D68" s="6">
        <f t="shared" ca="1" si="18"/>
        <v>302</v>
      </c>
      <c r="E68" s="6">
        <f t="shared" ca="1" si="19"/>
        <v>0</v>
      </c>
      <c r="F68" s="6">
        <f t="shared" ca="1" si="20"/>
        <v>3</v>
      </c>
    </row>
    <row r="69" spans="1:6" x14ac:dyDescent="0.3">
      <c r="A69" s="1">
        <f t="shared" ca="1" si="16"/>
        <v>304</v>
      </c>
      <c r="B69" s="6">
        <f t="shared" ca="1" si="17"/>
        <v>304</v>
      </c>
      <c r="C69" s="1">
        <f t="shared" ca="1" si="21"/>
        <v>0</v>
      </c>
      <c r="D69" s="6">
        <f t="shared" ca="1" si="18"/>
        <v>304</v>
      </c>
      <c r="E69" s="6">
        <f t="shared" ca="1" si="19"/>
        <v>0</v>
      </c>
      <c r="F69" s="6">
        <f t="shared" ca="1" si="20"/>
        <v>2</v>
      </c>
    </row>
    <row r="70" spans="1:6" x14ac:dyDescent="0.3">
      <c r="A70" s="1">
        <f t="shared" ca="1" si="16"/>
        <v>311</v>
      </c>
      <c r="B70" s="6">
        <f t="shared" ca="1" si="17"/>
        <v>311</v>
      </c>
      <c r="C70" s="1">
        <f t="shared" ca="1" si="21"/>
        <v>0</v>
      </c>
      <c r="D70" s="6">
        <f t="shared" ca="1" si="18"/>
        <v>311</v>
      </c>
      <c r="E70" s="6">
        <f t="shared" ca="1" si="19"/>
        <v>0</v>
      </c>
      <c r="F70" s="6">
        <f t="shared" ca="1" si="20"/>
        <v>7</v>
      </c>
    </row>
    <row r="71" spans="1:6" x14ac:dyDescent="0.3">
      <c r="A71" s="1">
        <f t="shared" ca="1" si="16"/>
        <v>316</v>
      </c>
      <c r="B71" s="6">
        <f t="shared" ca="1" si="17"/>
        <v>316</v>
      </c>
      <c r="C71" s="1">
        <f t="shared" ca="1" si="21"/>
        <v>0</v>
      </c>
      <c r="D71" s="6">
        <f t="shared" ca="1" si="18"/>
        <v>316</v>
      </c>
      <c r="E71" s="6">
        <f t="shared" ca="1" si="19"/>
        <v>0</v>
      </c>
      <c r="F71" s="6">
        <f t="shared" ca="1" si="20"/>
        <v>5</v>
      </c>
    </row>
    <row r="72" spans="1:6" x14ac:dyDescent="0.3">
      <c r="A72" s="1">
        <f t="shared" ca="1" si="16"/>
        <v>324</v>
      </c>
      <c r="B72" s="6">
        <f t="shared" ca="1" si="17"/>
        <v>324</v>
      </c>
      <c r="C72" s="1">
        <f t="shared" ca="1" si="21"/>
        <v>0</v>
      </c>
      <c r="D72" s="6">
        <f t="shared" ca="1" si="18"/>
        <v>324</v>
      </c>
      <c r="E72" s="6">
        <f t="shared" ca="1" si="19"/>
        <v>0</v>
      </c>
      <c r="F72" s="6">
        <f t="shared" ca="1" si="20"/>
        <v>8</v>
      </c>
    </row>
    <row r="73" spans="1:6" x14ac:dyDescent="0.3">
      <c r="A73" s="1">
        <f t="shared" ca="1" si="16"/>
        <v>326</v>
      </c>
      <c r="B73" s="6">
        <f t="shared" ca="1" si="17"/>
        <v>326</v>
      </c>
      <c r="C73" s="1">
        <f t="shared" ca="1" si="21"/>
        <v>0</v>
      </c>
      <c r="D73" s="6">
        <f t="shared" ca="1" si="18"/>
        <v>326</v>
      </c>
      <c r="E73" s="6">
        <f t="shared" ca="1" si="19"/>
        <v>0</v>
      </c>
      <c r="F73" s="6">
        <f t="shared" ca="1" si="20"/>
        <v>2</v>
      </c>
    </row>
    <row r="74" spans="1:6" x14ac:dyDescent="0.3">
      <c r="A74" s="1">
        <f t="shared" ca="1" si="16"/>
        <v>332</v>
      </c>
      <c r="B74" s="6">
        <f t="shared" ca="1" si="17"/>
        <v>332</v>
      </c>
      <c r="C74" s="1">
        <f t="shared" ca="1" si="21"/>
        <v>0</v>
      </c>
      <c r="D74" s="6">
        <f t="shared" ca="1" si="18"/>
        <v>332</v>
      </c>
      <c r="E74" s="6">
        <f t="shared" ca="1" si="19"/>
        <v>0</v>
      </c>
      <c r="F74" s="6">
        <f t="shared" ca="1" si="20"/>
        <v>6</v>
      </c>
    </row>
    <row r="75" spans="1:6" x14ac:dyDescent="0.3">
      <c r="A75" s="1">
        <f t="shared" ca="1" si="16"/>
        <v>333</v>
      </c>
      <c r="B75" s="6">
        <f t="shared" ca="1" si="17"/>
        <v>333</v>
      </c>
      <c r="C75" s="1">
        <f t="shared" ca="1" si="21"/>
        <v>0</v>
      </c>
      <c r="D75" s="6">
        <f t="shared" ca="1" si="18"/>
        <v>333</v>
      </c>
      <c r="E75" s="6">
        <f t="shared" ca="1" si="19"/>
        <v>0</v>
      </c>
      <c r="F75" s="6">
        <f t="shared" ca="1" si="20"/>
        <v>1</v>
      </c>
    </row>
    <row r="76" spans="1:6" x14ac:dyDescent="0.3">
      <c r="A76" s="1">
        <f t="shared" ca="1" si="16"/>
        <v>339</v>
      </c>
      <c r="B76" s="6">
        <f t="shared" ca="1" si="17"/>
        <v>339</v>
      </c>
      <c r="C76" s="1">
        <f t="shared" ca="1" si="21"/>
        <v>0</v>
      </c>
      <c r="D76" s="6">
        <f t="shared" ca="1" si="18"/>
        <v>339</v>
      </c>
      <c r="E76" s="6">
        <f t="shared" ca="1" si="19"/>
        <v>0</v>
      </c>
      <c r="F76" s="6">
        <f t="shared" ca="1" si="20"/>
        <v>6</v>
      </c>
    </row>
    <row r="77" spans="1:6" x14ac:dyDescent="0.3">
      <c r="A77" s="1">
        <f t="shared" ca="1" si="16"/>
        <v>341</v>
      </c>
      <c r="B77" s="6">
        <f t="shared" ca="1" si="17"/>
        <v>341</v>
      </c>
      <c r="C77" s="1">
        <f t="shared" ca="1" si="21"/>
        <v>0</v>
      </c>
      <c r="D77" s="6">
        <f t="shared" ca="1" si="18"/>
        <v>341</v>
      </c>
      <c r="E77" s="6">
        <f t="shared" ca="1" si="19"/>
        <v>0</v>
      </c>
      <c r="F77" s="6">
        <f t="shared" ca="1" si="20"/>
        <v>2</v>
      </c>
    </row>
    <row r="78" spans="1:6" x14ac:dyDescent="0.3">
      <c r="A78" s="1">
        <f t="shared" ca="1" si="16"/>
        <v>342</v>
      </c>
      <c r="B78" s="6">
        <f t="shared" ca="1" si="17"/>
        <v>342</v>
      </c>
      <c r="C78" s="1">
        <f t="shared" ca="1" si="21"/>
        <v>0</v>
      </c>
      <c r="D78" s="6">
        <f t="shared" ca="1" si="18"/>
        <v>342</v>
      </c>
      <c r="E78" s="6">
        <f t="shared" ca="1" si="19"/>
        <v>0</v>
      </c>
      <c r="F78" s="6">
        <f t="shared" ca="1" si="20"/>
        <v>1</v>
      </c>
    </row>
    <row r="79" spans="1:6" x14ac:dyDescent="0.3">
      <c r="A79" s="1">
        <f t="shared" ca="1" si="16"/>
        <v>351</v>
      </c>
      <c r="B79" s="6">
        <f t="shared" ca="1" si="17"/>
        <v>351</v>
      </c>
      <c r="C79" s="1">
        <f t="shared" ca="1" si="21"/>
        <v>0</v>
      </c>
      <c r="D79" s="6">
        <f t="shared" ca="1" si="18"/>
        <v>351</v>
      </c>
      <c r="E79" s="6">
        <f t="shared" ca="1" si="19"/>
        <v>0</v>
      </c>
      <c r="F79" s="6">
        <f t="shared" ca="1" si="20"/>
        <v>9</v>
      </c>
    </row>
    <row r="80" spans="1:6" x14ac:dyDescent="0.3">
      <c r="A80" s="1">
        <f t="shared" ca="1" si="16"/>
        <v>359</v>
      </c>
      <c r="B80" s="6">
        <f t="shared" ca="1" si="17"/>
        <v>359</v>
      </c>
      <c r="C80" s="1">
        <f t="shared" ca="1" si="21"/>
        <v>0</v>
      </c>
      <c r="D80" s="6">
        <f t="shared" ca="1" si="18"/>
        <v>359</v>
      </c>
      <c r="E80" s="6">
        <f t="shared" ca="1" si="19"/>
        <v>0</v>
      </c>
      <c r="F80" s="6">
        <f t="shared" ca="1" si="20"/>
        <v>8</v>
      </c>
    </row>
    <row r="81" spans="1:6" x14ac:dyDescent="0.3">
      <c r="A81" s="1">
        <f t="shared" ca="1" si="16"/>
        <v>363</v>
      </c>
      <c r="B81" s="6">
        <f t="shared" ca="1" si="17"/>
        <v>363</v>
      </c>
      <c r="C81" s="1">
        <f t="shared" ca="1" si="21"/>
        <v>0</v>
      </c>
      <c r="D81" s="6">
        <f t="shared" ca="1" si="18"/>
        <v>363</v>
      </c>
      <c r="E81" s="6">
        <f t="shared" ca="1" si="19"/>
        <v>0</v>
      </c>
      <c r="F81" s="6">
        <f t="shared" ca="1" si="20"/>
        <v>4</v>
      </c>
    </row>
    <row r="82" spans="1:6" x14ac:dyDescent="0.3">
      <c r="A82" s="1">
        <f t="shared" ca="1" si="16"/>
        <v>369</v>
      </c>
      <c r="B82" s="6">
        <f t="shared" ca="1" si="17"/>
        <v>369</v>
      </c>
      <c r="C82" s="1">
        <f t="shared" ca="1" si="21"/>
        <v>0</v>
      </c>
      <c r="D82" s="6">
        <f t="shared" ca="1" si="18"/>
        <v>369</v>
      </c>
      <c r="E82" s="6">
        <f t="shared" ca="1" si="19"/>
        <v>0</v>
      </c>
      <c r="F82" s="6">
        <f t="shared" ca="1" si="20"/>
        <v>6</v>
      </c>
    </row>
    <row r="83" spans="1:6" x14ac:dyDescent="0.3">
      <c r="A83" s="1">
        <f t="shared" ca="1" si="16"/>
        <v>378</v>
      </c>
      <c r="B83" s="6">
        <f t="shared" ca="1" si="17"/>
        <v>378</v>
      </c>
      <c r="C83" s="1">
        <f t="shared" ca="1" si="21"/>
        <v>0</v>
      </c>
      <c r="D83" s="6">
        <f t="shared" ca="1" si="18"/>
        <v>378</v>
      </c>
      <c r="E83" s="6">
        <f t="shared" ca="1" si="19"/>
        <v>0</v>
      </c>
      <c r="F83" s="6">
        <f t="shared" ca="1" si="20"/>
        <v>9</v>
      </c>
    </row>
    <row r="84" spans="1:6" x14ac:dyDescent="0.3">
      <c r="A84" s="1">
        <f t="shared" ca="1" si="16"/>
        <v>381</v>
      </c>
      <c r="B84" s="6">
        <f t="shared" ca="1" si="17"/>
        <v>381</v>
      </c>
      <c r="C84" s="1">
        <f t="shared" ca="1" si="21"/>
        <v>0</v>
      </c>
      <c r="D84" s="6">
        <f t="shared" ca="1" si="18"/>
        <v>381</v>
      </c>
      <c r="E84" s="6">
        <f t="shared" ca="1" si="19"/>
        <v>0</v>
      </c>
      <c r="F84" s="6">
        <f t="shared" ca="1" si="20"/>
        <v>3</v>
      </c>
    </row>
    <row r="85" spans="1:6" x14ac:dyDescent="0.3">
      <c r="A85" s="1">
        <f t="shared" ca="1" si="16"/>
        <v>382</v>
      </c>
      <c r="B85" s="6">
        <f t="shared" ca="1" si="17"/>
        <v>382</v>
      </c>
      <c r="C85" s="1">
        <f t="shared" ca="1" si="21"/>
        <v>0</v>
      </c>
      <c r="D85" s="6">
        <f t="shared" ca="1" si="18"/>
        <v>382</v>
      </c>
      <c r="E85" s="6">
        <f t="shared" ca="1" si="19"/>
        <v>0</v>
      </c>
      <c r="F85" s="6">
        <f t="shared" ca="1" si="20"/>
        <v>1</v>
      </c>
    </row>
    <row r="86" spans="1:6" x14ac:dyDescent="0.3">
      <c r="A86" s="1">
        <f t="shared" ca="1" si="16"/>
        <v>383</v>
      </c>
      <c r="B86" s="6">
        <f t="shared" ca="1" si="17"/>
        <v>383</v>
      </c>
      <c r="C86" s="1">
        <f t="shared" ca="1" si="21"/>
        <v>0</v>
      </c>
      <c r="D86" s="6">
        <f t="shared" ca="1" si="18"/>
        <v>383</v>
      </c>
      <c r="E86" s="6">
        <f t="shared" ca="1" si="19"/>
        <v>0</v>
      </c>
      <c r="F86" s="6">
        <f t="shared" ca="1" si="20"/>
        <v>1</v>
      </c>
    </row>
    <row r="87" spans="1:6" x14ac:dyDescent="0.3">
      <c r="A87" s="1">
        <f t="shared" ca="1" si="16"/>
        <v>383</v>
      </c>
      <c r="B87" s="6">
        <f t="shared" ca="1" si="17"/>
        <v>383</v>
      </c>
      <c r="C87" s="1">
        <f t="shared" ca="1" si="21"/>
        <v>0</v>
      </c>
      <c r="D87" s="6">
        <f t="shared" ca="1" si="18"/>
        <v>383</v>
      </c>
      <c r="E87" s="6">
        <f t="shared" ca="1" si="19"/>
        <v>0</v>
      </c>
      <c r="F87" s="6">
        <f t="shared" ca="1" si="20"/>
        <v>0</v>
      </c>
    </row>
    <row r="88" spans="1:6" x14ac:dyDescent="0.3">
      <c r="A88" s="1">
        <f t="shared" ca="1" si="16"/>
        <v>390</v>
      </c>
      <c r="B88" s="6">
        <f t="shared" ca="1" si="17"/>
        <v>390</v>
      </c>
      <c r="C88" s="1">
        <f t="shared" ca="1" si="21"/>
        <v>0</v>
      </c>
      <c r="D88" s="6">
        <f t="shared" ca="1" si="18"/>
        <v>390</v>
      </c>
      <c r="E88" s="6">
        <f t="shared" ca="1" si="19"/>
        <v>0</v>
      </c>
      <c r="F88" s="6">
        <f t="shared" ca="1" si="20"/>
        <v>7</v>
      </c>
    </row>
    <row r="89" spans="1:6" x14ac:dyDescent="0.3">
      <c r="A89" s="1">
        <f t="shared" ca="1" si="16"/>
        <v>393</v>
      </c>
      <c r="B89" s="6">
        <f t="shared" ca="1" si="17"/>
        <v>393</v>
      </c>
      <c r="C89" s="1">
        <f t="shared" ca="1" si="21"/>
        <v>0</v>
      </c>
      <c r="D89" s="6">
        <f t="shared" ca="1" si="18"/>
        <v>393</v>
      </c>
      <c r="E89" s="6">
        <f t="shared" ca="1" si="19"/>
        <v>0</v>
      </c>
      <c r="F89" s="6">
        <f t="shared" ca="1" si="20"/>
        <v>3</v>
      </c>
    </row>
    <row r="90" spans="1:6" x14ac:dyDescent="0.3">
      <c r="A90" s="1">
        <f t="shared" ca="1" si="16"/>
        <v>400</v>
      </c>
      <c r="B90" s="6">
        <f t="shared" ca="1" si="17"/>
        <v>400</v>
      </c>
      <c r="C90" s="1">
        <f t="shared" ca="1" si="21"/>
        <v>0</v>
      </c>
      <c r="D90" s="6">
        <f t="shared" ca="1" si="18"/>
        <v>400</v>
      </c>
      <c r="E90" s="6">
        <f t="shared" ca="1" si="19"/>
        <v>0</v>
      </c>
      <c r="F90" s="6">
        <f t="shared" ca="1" si="20"/>
        <v>7</v>
      </c>
    </row>
    <row r="91" spans="1:6" x14ac:dyDescent="0.3">
      <c r="A91" s="1">
        <f t="shared" ca="1" si="16"/>
        <v>404</v>
      </c>
      <c r="B91" s="6">
        <f t="shared" ca="1" si="17"/>
        <v>404</v>
      </c>
      <c r="C91" s="1">
        <f t="shared" ca="1" si="21"/>
        <v>0</v>
      </c>
      <c r="D91" s="6">
        <f t="shared" ca="1" si="18"/>
        <v>404</v>
      </c>
      <c r="E91" s="6">
        <f t="shared" ca="1" si="19"/>
        <v>0</v>
      </c>
      <c r="F91" s="6">
        <f t="shared" ca="1" si="20"/>
        <v>4</v>
      </c>
    </row>
    <row r="92" spans="1:6" x14ac:dyDescent="0.3">
      <c r="A92" s="1">
        <f t="shared" ca="1" si="16"/>
        <v>407</v>
      </c>
      <c r="B92" s="6">
        <f t="shared" ca="1" si="17"/>
        <v>407</v>
      </c>
      <c r="C92" s="1">
        <f t="shared" ca="1" si="21"/>
        <v>0</v>
      </c>
      <c r="D92" s="6">
        <f t="shared" ca="1" si="18"/>
        <v>407</v>
      </c>
      <c r="E92" s="6">
        <f t="shared" ca="1" si="19"/>
        <v>0</v>
      </c>
      <c r="F92" s="6">
        <f t="shared" ca="1" si="20"/>
        <v>3</v>
      </c>
    </row>
    <row r="93" spans="1:6" x14ac:dyDescent="0.3">
      <c r="A93" s="1">
        <f t="shared" ca="1" si="16"/>
        <v>410</v>
      </c>
      <c r="B93" s="6">
        <f t="shared" ca="1" si="17"/>
        <v>410</v>
      </c>
      <c r="C93" s="1">
        <f t="shared" ca="1" si="21"/>
        <v>0</v>
      </c>
      <c r="D93" s="6">
        <f t="shared" ca="1" si="18"/>
        <v>410</v>
      </c>
      <c r="E93" s="6">
        <f t="shared" ca="1" si="19"/>
        <v>0</v>
      </c>
      <c r="F93" s="6">
        <f t="shared" ca="1" si="20"/>
        <v>3</v>
      </c>
    </row>
    <row r="94" spans="1:6" x14ac:dyDescent="0.3">
      <c r="A94" s="1">
        <f t="shared" ca="1" si="16"/>
        <v>416</v>
      </c>
      <c r="B94" s="6">
        <f t="shared" ca="1" si="17"/>
        <v>416</v>
      </c>
      <c r="C94" s="1">
        <f t="shared" ca="1" si="21"/>
        <v>0</v>
      </c>
      <c r="D94" s="6">
        <f t="shared" ca="1" si="18"/>
        <v>416</v>
      </c>
      <c r="E94" s="6">
        <f t="shared" ca="1" si="19"/>
        <v>0</v>
      </c>
      <c r="F94" s="6">
        <f t="shared" ca="1" si="20"/>
        <v>6</v>
      </c>
    </row>
    <row r="95" spans="1:6" x14ac:dyDescent="0.3">
      <c r="A95" s="1">
        <f t="shared" ca="1" si="16"/>
        <v>418</v>
      </c>
      <c r="B95" s="6">
        <f t="shared" ca="1" si="17"/>
        <v>418</v>
      </c>
      <c r="C95" s="1">
        <f t="shared" ca="1" si="21"/>
        <v>0</v>
      </c>
      <c r="D95" s="6">
        <f t="shared" ca="1" si="18"/>
        <v>418</v>
      </c>
      <c r="E95" s="6">
        <f t="shared" ca="1" si="19"/>
        <v>0</v>
      </c>
      <c r="F95" s="6">
        <f t="shared" ca="1" si="20"/>
        <v>2</v>
      </c>
    </row>
    <row r="96" spans="1:6" x14ac:dyDescent="0.3">
      <c r="A96" s="1">
        <f t="shared" ca="1" si="16"/>
        <v>419</v>
      </c>
      <c r="B96" s="6">
        <f t="shared" ca="1" si="17"/>
        <v>419</v>
      </c>
      <c r="C96" s="1">
        <f t="shared" ca="1" si="21"/>
        <v>0</v>
      </c>
      <c r="D96" s="6">
        <f t="shared" ca="1" si="18"/>
        <v>419</v>
      </c>
      <c r="E96" s="6">
        <f t="shared" ca="1" si="19"/>
        <v>0</v>
      </c>
      <c r="F96" s="6">
        <f t="shared" ca="1" si="20"/>
        <v>1</v>
      </c>
    </row>
    <row r="97" spans="1:6" x14ac:dyDescent="0.3">
      <c r="A97" s="1">
        <f t="shared" ca="1" si="16"/>
        <v>420</v>
      </c>
      <c r="B97" s="6">
        <f t="shared" ca="1" si="17"/>
        <v>420</v>
      </c>
      <c r="C97" s="1">
        <f t="shared" ca="1" si="21"/>
        <v>0</v>
      </c>
      <c r="D97" s="6">
        <f t="shared" ca="1" si="18"/>
        <v>420</v>
      </c>
      <c r="E97" s="6">
        <f t="shared" ca="1" si="19"/>
        <v>0</v>
      </c>
      <c r="F97" s="6">
        <f t="shared" ca="1" si="20"/>
        <v>1</v>
      </c>
    </row>
    <row r="98" spans="1:6" x14ac:dyDescent="0.3">
      <c r="A98" s="1">
        <f t="shared" ca="1" si="16"/>
        <v>422</v>
      </c>
      <c r="B98" s="6">
        <f t="shared" ca="1" si="17"/>
        <v>422</v>
      </c>
      <c r="C98" s="1">
        <f t="shared" ca="1" si="21"/>
        <v>0</v>
      </c>
      <c r="D98" s="6">
        <f t="shared" ca="1" si="18"/>
        <v>422</v>
      </c>
      <c r="E98" s="6">
        <f t="shared" ca="1" si="19"/>
        <v>0</v>
      </c>
      <c r="F98" s="6">
        <f t="shared" ca="1" si="20"/>
        <v>2</v>
      </c>
    </row>
    <row r="99" spans="1:6" x14ac:dyDescent="0.3">
      <c r="A99" s="1">
        <f t="shared" ca="1" si="16"/>
        <v>422</v>
      </c>
      <c r="B99" s="6">
        <f t="shared" ca="1" si="17"/>
        <v>422</v>
      </c>
      <c r="C99" s="1">
        <f t="shared" ca="1" si="21"/>
        <v>0</v>
      </c>
      <c r="D99" s="6">
        <f t="shared" ca="1" si="18"/>
        <v>422</v>
      </c>
      <c r="E99" s="6">
        <f t="shared" ca="1" si="19"/>
        <v>0</v>
      </c>
      <c r="F99" s="6">
        <f t="shared" ca="1" si="20"/>
        <v>0</v>
      </c>
    </row>
    <row r="100" spans="1:6" x14ac:dyDescent="0.3">
      <c r="A100" s="1">
        <f t="shared" ca="1" si="16"/>
        <v>422</v>
      </c>
      <c r="B100" s="6">
        <f t="shared" ca="1" si="17"/>
        <v>422</v>
      </c>
      <c r="C100" s="1">
        <f t="shared" ca="1" si="21"/>
        <v>0</v>
      </c>
      <c r="D100" s="6">
        <f t="shared" ca="1" si="18"/>
        <v>422</v>
      </c>
      <c r="E100" s="6">
        <f t="shared" ca="1" si="19"/>
        <v>0</v>
      </c>
      <c r="F100" s="6">
        <f t="shared" ca="1" si="20"/>
        <v>0</v>
      </c>
    </row>
    <row r="101" spans="1:6" x14ac:dyDescent="0.3">
      <c r="A101" s="1">
        <f t="shared" ca="1" si="16"/>
        <v>425</v>
      </c>
      <c r="B101" s="6">
        <f t="shared" ca="1" si="17"/>
        <v>425</v>
      </c>
      <c r="C101" s="1">
        <f t="shared" ca="1" si="21"/>
        <v>0</v>
      </c>
      <c r="D101" s="6">
        <f t="shared" ca="1" si="18"/>
        <v>425</v>
      </c>
      <c r="E101" s="6">
        <f t="shared" ca="1" si="19"/>
        <v>0</v>
      </c>
      <c r="F101" s="6">
        <f t="shared" ca="1" si="20"/>
        <v>3</v>
      </c>
    </row>
    <row r="102" spans="1:6" x14ac:dyDescent="0.3">
      <c r="A102" s="1">
        <f t="shared" ca="1" si="16"/>
        <v>425</v>
      </c>
      <c r="B102" s="6">
        <f t="shared" ca="1" si="17"/>
        <v>425</v>
      </c>
      <c r="C102" s="1">
        <f t="shared" ca="1" si="21"/>
        <v>0</v>
      </c>
      <c r="D102" s="6">
        <f t="shared" ca="1" si="18"/>
        <v>425</v>
      </c>
      <c r="E102" s="6">
        <f t="shared" ca="1" si="19"/>
        <v>0</v>
      </c>
      <c r="F102" s="6">
        <f t="shared" ca="1" si="20"/>
        <v>0</v>
      </c>
    </row>
    <row r="103" spans="1:6" x14ac:dyDescent="0.3">
      <c r="A103" s="1">
        <f t="shared" ca="1" si="16"/>
        <v>426</v>
      </c>
      <c r="B103" s="6">
        <f t="shared" ca="1" si="17"/>
        <v>426</v>
      </c>
      <c r="C103" s="1">
        <f t="shared" ca="1" si="21"/>
        <v>0</v>
      </c>
      <c r="D103" s="6">
        <f t="shared" ca="1" si="18"/>
        <v>426</v>
      </c>
      <c r="E103" s="6">
        <f t="shared" ca="1" si="19"/>
        <v>0</v>
      </c>
      <c r="F103" s="6">
        <f t="shared" ca="1" si="20"/>
        <v>1</v>
      </c>
    </row>
    <row r="104" spans="1:6" x14ac:dyDescent="0.3">
      <c r="A104" s="1">
        <f t="shared" ca="1" si="16"/>
        <v>426</v>
      </c>
      <c r="B104" s="6">
        <f t="shared" ca="1" si="17"/>
        <v>426</v>
      </c>
      <c r="C104" s="1">
        <f t="shared" ca="1" si="21"/>
        <v>0</v>
      </c>
      <c r="D104" s="6">
        <f t="shared" ca="1" si="18"/>
        <v>426</v>
      </c>
      <c r="E104" s="6">
        <f t="shared" ca="1" si="19"/>
        <v>0</v>
      </c>
      <c r="F104" s="6">
        <f t="shared" ca="1" si="20"/>
        <v>0</v>
      </c>
    </row>
    <row r="105" spans="1:6" x14ac:dyDescent="0.3">
      <c r="A105" s="1">
        <f t="shared" ca="1" si="16"/>
        <v>435</v>
      </c>
      <c r="B105" s="6">
        <f t="shared" ca="1" si="17"/>
        <v>435</v>
      </c>
      <c r="C105" s="1">
        <f t="shared" ca="1" si="21"/>
        <v>0</v>
      </c>
      <c r="D105" s="6">
        <f t="shared" ca="1" si="18"/>
        <v>435</v>
      </c>
      <c r="E105" s="6">
        <f t="shared" ca="1" si="19"/>
        <v>0</v>
      </c>
      <c r="F105" s="6">
        <f t="shared" ca="1" si="20"/>
        <v>9</v>
      </c>
    </row>
    <row r="106" spans="1:6" x14ac:dyDescent="0.3">
      <c r="A106" s="1">
        <f t="shared" ca="1" si="16"/>
        <v>444</v>
      </c>
      <c r="B106" s="6">
        <f t="shared" ca="1" si="17"/>
        <v>444</v>
      </c>
      <c r="C106" s="1">
        <f t="shared" ca="1" si="21"/>
        <v>0</v>
      </c>
      <c r="D106" s="6">
        <f t="shared" ca="1" si="18"/>
        <v>444</v>
      </c>
      <c r="E106" s="6">
        <f t="shared" ca="1" si="19"/>
        <v>0</v>
      </c>
      <c r="F106" s="6">
        <f t="shared" ca="1" si="20"/>
        <v>9</v>
      </c>
    </row>
    <row r="107" spans="1:6" x14ac:dyDescent="0.3">
      <c r="A107" s="1">
        <f t="shared" ca="1" si="16"/>
        <v>444</v>
      </c>
      <c r="B107" s="6">
        <f t="shared" ca="1" si="17"/>
        <v>444</v>
      </c>
      <c r="C107" s="1">
        <f t="shared" ca="1" si="21"/>
        <v>0</v>
      </c>
      <c r="D107" s="6">
        <f t="shared" ca="1" si="18"/>
        <v>444</v>
      </c>
      <c r="E107" s="6">
        <f t="shared" ca="1" si="19"/>
        <v>0</v>
      </c>
      <c r="F107" s="6">
        <f t="shared" ca="1" si="20"/>
        <v>0</v>
      </c>
    </row>
    <row r="108" spans="1:6" x14ac:dyDescent="0.3">
      <c r="A108" s="1">
        <f t="shared" ca="1" si="16"/>
        <v>444</v>
      </c>
      <c r="B108" s="6">
        <f t="shared" ca="1" si="17"/>
        <v>444</v>
      </c>
      <c r="C108" s="1">
        <f t="shared" ca="1" si="21"/>
        <v>0</v>
      </c>
      <c r="D108" s="6">
        <f t="shared" ca="1" si="18"/>
        <v>444</v>
      </c>
      <c r="E108" s="6">
        <f t="shared" ca="1" si="19"/>
        <v>0</v>
      </c>
      <c r="F108" s="6">
        <f t="shared" ca="1" si="20"/>
        <v>0</v>
      </c>
    </row>
    <row r="109" spans="1:6" x14ac:dyDescent="0.3">
      <c r="A109" s="1">
        <f t="shared" ca="1" si="16"/>
        <v>445</v>
      </c>
      <c r="B109" s="6">
        <f t="shared" ca="1" si="17"/>
        <v>445</v>
      </c>
      <c r="C109" s="1">
        <f t="shared" ca="1" si="21"/>
        <v>0</v>
      </c>
      <c r="D109" s="6">
        <f t="shared" ca="1" si="18"/>
        <v>445</v>
      </c>
      <c r="E109" s="6">
        <f t="shared" ca="1" si="19"/>
        <v>0</v>
      </c>
      <c r="F109" s="6">
        <f t="shared" ca="1" si="20"/>
        <v>1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A78054-0CF3-4C67-8E9E-D1CE341437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B0A883B-F747-4981-8604-B5CAAB4E12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840CFF-7EAF-40E1-BCF8-603440E48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Frequency Arrival and Service</vt:lpstr>
      <vt:lpstr>Job Production Tutorial Q2</vt:lpstr>
      <vt:lpstr>Job Production Tutorial Q2 (2)</vt:lpstr>
      <vt:lpstr>Frozen Example</vt:lpstr>
      <vt:lpstr>Coin Toss</vt:lpstr>
      <vt:lpstr>Dice</vt:lpstr>
      <vt:lpstr>Uniform Arrivals and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O’Neil</cp:lastModifiedBy>
  <dcterms:created xsi:type="dcterms:W3CDTF">2019-11-26T15:29:31Z</dcterms:created>
  <dcterms:modified xsi:type="dcterms:W3CDTF">2019-11-28T10:32:56Z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0x01010051A328A96253EC468854895DB51C3CA9</vt:lpwstr>
  </property>
  <property fmtid="{D5CDD505-2E9C-101B-9397-08002B2CF9AE}" pid="3" name="MSIP_Label_b47d098f-2640-4837-b575-e0be04df0525_Enabled">
    <vt:lpwstr>True</vt:lpwstr>
  </property>
  <property fmtid="{D5CDD505-2E9C-101B-9397-08002B2CF9AE}" pid="4" name="MSIP_Label_b47d098f-2640-4837-b575-e0be04df0525_SiteId">
    <vt:lpwstr>98f1bb3a-5efa-4782-88ba-bd897db60e62</vt:lpwstr>
  </property>
  <property fmtid="{D5CDD505-2E9C-101B-9397-08002B2CF9AE}" pid="5" name="MSIP_Label_b47d098f-2640-4837-b575-e0be04df0525_Owner">
    <vt:lpwstr>TCSR529@derby.ac.uk</vt:lpwstr>
  </property>
  <property fmtid="{D5CDD505-2E9C-101B-9397-08002B2CF9AE}" pid="6" name="MSIP_Label_b47d098f-2640-4837-b575-e0be04df0525_SetDate">
    <vt:lpwstr>2019-11-27T15:57:45.7880497Z</vt:lpwstr>
  </property>
  <property fmtid="{D5CDD505-2E9C-101B-9397-08002B2CF9AE}" pid="7" name="MSIP_Label_b47d098f-2640-4837-b575-e0be04df0525_Name">
    <vt:lpwstr>Internal</vt:lpwstr>
  </property>
  <property fmtid="{D5CDD505-2E9C-101B-9397-08002B2CF9AE}" pid="8" name="MSIP_Label_b47d098f-2640-4837-b575-e0be04df0525_Application">
    <vt:lpwstr>Microsoft Azure Information Protection</vt:lpwstr>
  </property>
  <property fmtid="{D5CDD505-2E9C-101B-9397-08002B2CF9AE}" pid="9" name="MSIP_Label_b47d098f-2640-4837-b575-e0be04df0525_Extended_MSFT_Method">
    <vt:lpwstr>Automatic</vt:lpwstr>
  </property>
  <property fmtid="{D5CDD505-2E9C-101B-9397-08002B2CF9AE}" pid="10" name="MSIP_Label_501a0944-9d81-4c75-b857-2ec7863455b7_Enabled">
    <vt:lpwstr>True</vt:lpwstr>
  </property>
  <property fmtid="{D5CDD505-2E9C-101B-9397-08002B2CF9AE}" pid="11" name="MSIP_Label_501a0944-9d81-4c75-b857-2ec7863455b7_SiteId">
    <vt:lpwstr>98f1bb3a-5efa-4782-88ba-bd897db60e62</vt:lpwstr>
  </property>
  <property fmtid="{D5CDD505-2E9C-101B-9397-08002B2CF9AE}" pid="12" name="MSIP_Label_501a0944-9d81-4c75-b857-2ec7863455b7_Owner">
    <vt:lpwstr>TCSR529@derby.ac.uk</vt:lpwstr>
  </property>
  <property fmtid="{D5CDD505-2E9C-101B-9397-08002B2CF9AE}" pid="13" name="MSIP_Label_501a0944-9d81-4c75-b857-2ec7863455b7_SetDate">
    <vt:lpwstr>2019-11-27T15:57:45.7880497Z</vt:lpwstr>
  </property>
  <property fmtid="{D5CDD505-2E9C-101B-9397-08002B2CF9AE}" pid="14" name="MSIP_Label_501a0944-9d81-4c75-b857-2ec7863455b7_Name">
    <vt:lpwstr>Internal with visible marking</vt:lpwstr>
  </property>
  <property fmtid="{D5CDD505-2E9C-101B-9397-08002B2CF9AE}" pid="15" name="MSIP_Label_501a0944-9d81-4c75-b857-2ec7863455b7_Application">
    <vt:lpwstr>Microsoft Azure Information Protection</vt:lpwstr>
  </property>
  <property fmtid="{D5CDD505-2E9C-101B-9397-08002B2CF9AE}" pid="16" name="MSIP_Label_501a0944-9d81-4c75-b857-2ec7863455b7_Parent">
    <vt:lpwstr>b47d098f-2640-4837-b575-e0be04df0525</vt:lpwstr>
  </property>
  <property fmtid="{D5CDD505-2E9C-101B-9397-08002B2CF9AE}" pid="17" name="MSIP_Label_501a0944-9d81-4c75-b857-2ec7863455b7_Extended_MSFT_Method">
    <vt:lpwstr>Automatic</vt:lpwstr>
  </property>
  <property fmtid="{D5CDD505-2E9C-101B-9397-08002B2CF9AE}" pid="18" name="Sensitivity">
    <vt:lpwstr>Internal Internal with visible marking</vt:lpwstr>
  </property>
</Properties>
</file>