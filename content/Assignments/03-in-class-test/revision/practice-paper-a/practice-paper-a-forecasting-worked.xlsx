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102" documentId="11_304D13B2636919EAA0DD3BF8CA2878C610B5784D" xr6:coauthVersionLast="47" xr6:coauthVersionMax="47" xr10:uidLastSave="{1F0A4AC9-B5FA-4B4C-ADD0-5BB3CAB27835}"/>
  <bookViews>
    <workbookView xWindow="-108" yWindow="-108" windowWidth="41496" windowHeight="16776" activeTab="2" xr2:uid="{00000000-000D-0000-FFFF-FFFF00000000}"/>
  </bookViews>
  <sheets>
    <sheet name="Summary" sheetId="1" r:id="rId1"/>
    <sheet name="Seasonal Indices" sheetId="2" r:id="rId2"/>
    <sheet name="Data and CMA" sheetId="3" r:id="rId3"/>
    <sheet name="Seasonal Variations" sheetId="4" r:id="rId4"/>
    <sheet name="Deseasonalised Trend" sheetId="5" r:id="rId5"/>
    <sheet name="Validation" sheetId="6" r:id="rId6"/>
    <sheet name="Future Forecas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L18" i="3"/>
  <c r="M18" i="3"/>
  <c r="N18" i="3"/>
  <c r="O18" i="3"/>
  <c r="P18" i="3" s="1"/>
  <c r="L19" i="3"/>
  <c r="M19" i="3"/>
  <c r="N19" i="3"/>
  <c r="O19" i="3"/>
  <c r="P19" i="3"/>
  <c r="L20" i="3"/>
  <c r="M20" i="3"/>
  <c r="N20" i="3"/>
  <c r="O20" i="3"/>
  <c r="P20" i="3"/>
  <c r="L21" i="3"/>
  <c r="M21" i="3"/>
  <c r="N21" i="3"/>
  <c r="O21" i="3"/>
  <c r="P21" i="3" s="1"/>
  <c r="P26" i="3"/>
  <c r="N26" i="3"/>
  <c r="P3" i="3"/>
  <c r="P8" i="3"/>
  <c r="P9" i="3"/>
  <c r="P10" i="3"/>
  <c r="P11" i="3"/>
  <c r="P12" i="3"/>
  <c r="P13" i="3"/>
  <c r="P14" i="3"/>
  <c r="P15" i="3"/>
  <c r="P16" i="3"/>
  <c r="P17" i="3"/>
  <c r="P2" i="3"/>
  <c r="N3" i="3"/>
  <c r="N8" i="3"/>
  <c r="N9" i="3"/>
  <c r="N10" i="3"/>
  <c r="N11" i="3"/>
  <c r="N12" i="3"/>
  <c r="N13" i="3"/>
  <c r="N14" i="3"/>
  <c r="N15" i="3"/>
  <c r="N16" i="3"/>
  <c r="N17" i="3"/>
  <c r="N2" i="3"/>
  <c r="O15" i="3"/>
  <c r="O16" i="3"/>
  <c r="O17" i="3"/>
  <c r="O2" i="3"/>
  <c r="M3" i="3"/>
  <c r="M8" i="3"/>
  <c r="M15" i="3"/>
  <c r="M16" i="3"/>
  <c r="M17" i="3"/>
  <c r="M2" i="3"/>
  <c r="L3" i="3"/>
  <c r="O3" i="3" s="1"/>
  <c r="L4" i="3"/>
  <c r="L5" i="3"/>
  <c r="L6" i="3"/>
  <c r="L7" i="3"/>
  <c r="L8" i="3"/>
  <c r="O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L16" i="3"/>
  <c r="L17" i="3"/>
  <c r="L2" i="3"/>
  <c r="E10" i="3"/>
  <c r="F10" i="3" s="1"/>
  <c r="E11" i="3"/>
  <c r="F11" i="3" s="1"/>
  <c r="E4" i="3"/>
  <c r="F4" i="3" s="1"/>
  <c r="D5" i="3"/>
  <c r="E6" i="3" s="1"/>
  <c r="D6" i="3"/>
  <c r="E7" i="3" s="1"/>
  <c r="D7" i="3"/>
  <c r="E8" i="3" s="1"/>
  <c r="D8" i="3"/>
  <c r="E9" i="3" s="1"/>
  <c r="D9" i="3"/>
  <c r="D10" i="3"/>
  <c r="D11" i="3"/>
  <c r="D4" i="3"/>
  <c r="F9" i="3" l="1"/>
  <c r="I9" i="3"/>
  <c r="I8" i="3"/>
  <c r="F8" i="3"/>
  <c r="F7" i="3"/>
  <c r="G7" i="3" s="1"/>
  <c r="I7" i="3"/>
  <c r="F6" i="3"/>
  <c r="G6" i="3" s="1"/>
  <c r="I6" i="3"/>
  <c r="G4" i="3"/>
  <c r="I4" i="3"/>
  <c r="J4" i="3" s="1"/>
  <c r="I11" i="3"/>
  <c r="O12" i="3"/>
  <c r="E5" i="3"/>
  <c r="O13" i="3"/>
  <c r="I10" i="3"/>
  <c r="O11" i="3"/>
  <c r="O10" i="3"/>
  <c r="O9" i="3"/>
  <c r="O14" i="3"/>
  <c r="F5" i="3" l="1"/>
  <c r="G5" i="3" s="1"/>
  <c r="H5" i="3" s="1"/>
  <c r="M5" i="3" s="1"/>
  <c r="N5" i="3" s="1"/>
  <c r="I5" i="3"/>
  <c r="J5" i="3" s="1"/>
  <c r="H4" i="3"/>
  <c r="M4" i="3" s="1"/>
  <c r="N4" i="3" s="1"/>
  <c r="J6" i="3"/>
  <c r="H6" i="3"/>
  <c r="M6" i="3" s="1"/>
  <c r="N6" i="3" s="1"/>
  <c r="J7" i="3"/>
  <c r="K7" i="3" s="1"/>
  <c r="O7" i="3" s="1"/>
  <c r="P7" i="3" s="1"/>
  <c r="H7" i="3"/>
  <c r="M7" i="3" s="1"/>
  <c r="N7" i="3" s="1"/>
  <c r="K4" i="3"/>
  <c r="O4" i="3" s="1"/>
  <c r="P4" i="3" s="1"/>
  <c r="K6" i="3" l="1"/>
  <c r="O6" i="3" s="1"/>
  <c r="P6" i="3" s="1"/>
  <c r="K5" i="3"/>
  <c r="O5" i="3" s="1"/>
  <c r="P5" i="3" s="1"/>
</calcChain>
</file>

<file path=xl/sharedStrings.xml><?xml version="1.0" encoding="utf-8"?>
<sst xmlns="http://schemas.openxmlformats.org/spreadsheetml/2006/main" count="54" uniqueCount="31">
  <si>
    <t>Item</t>
  </si>
  <si>
    <t>Value</t>
  </si>
  <si>
    <t>MAD additive</t>
  </si>
  <si>
    <t>MAD multiplicative</t>
  </si>
  <si>
    <t>Better model</t>
  </si>
  <si>
    <t>multiplicative</t>
  </si>
  <si>
    <t>Trend line</t>
  </si>
  <si>
    <t>T_hat = 568.75 + 10.89t</t>
  </si>
  <si>
    <t>quarter</t>
  </si>
  <si>
    <t>additive_index</t>
  </si>
  <si>
    <t>multiplicative_index</t>
  </si>
  <si>
    <t>t</t>
  </si>
  <si>
    <t>actual</t>
  </si>
  <si>
    <t>ma4</t>
  </si>
  <si>
    <t>cma</t>
  </si>
  <si>
    <t>add_seasonal</t>
  </si>
  <si>
    <t>mult_seasonal</t>
  </si>
  <si>
    <t>deseasonalised_add</t>
  </si>
  <si>
    <t>deseasonalised_mult</t>
  </si>
  <si>
    <t>add_trend</t>
  </si>
  <si>
    <t>mult_trend</t>
  </si>
  <si>
    <t>add_forecast</t>
  </si>
  <si>
    <t>mult_forecast</t>
  </si>
  <si>
    <t>add_abs_error</t>
  </si>
  <si>
    <t>mult_abs_error</t>
  </si>
  <si>
    <t>y-cma</t>
  </si>
  <si>
    <t>y/cma</t>
  </si>
  <si>
    <t>Trend</t>
  </si>
  <si>
    <t>Add For</t>
  </si>
  <si>
    <t>Mul For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</si>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</sst>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and CMA'!$E$1</c:f>
              <c:strCache>
                <c:ptCount val="1"/>
                <c:pt idx="0">
                  <c:v>cma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'Data and CMA'!$A$2:$A$13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and CMA'!$E$2:$E$13</c:f>
              <c:numCache>
                <c:formatCode>General</c:formatCode>
                <c:ptCount val="12"/>
                <c:pt idx="2">
                  <c:v>602.25</c:v>
                </c:pt>
                <c:pt idx="3">
                  <c:v>612.25</c:v>
                </c:pt>
                <c:pt idx="4">
                  <c:v>622.25</c:v>
                </c:pt>
                <c:pt idx="5">
                  <c:v>633.5</c:v>
                </c:pt>
                <c:pt idx="6">
                  <c:v>645.25</c:v>
                </c:pt>
                <c:pt idx="7">
                  <c:v>656.25</c:v>
                </c:pt>
                <c:pt idx="8">
                  <c:v>666.75</c:v>
                </c:pt>
                <c:pt idx="9">
                  <c:v>677.75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B-4EEE-819D-BBDDCDC63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805471"/>
        <c:axId val="1923805951"/>
      </c:lineChart>
      <c:catAx>
        <c:axId val="192380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05951"/>
        <c:crosses val="autoZero"/>
        <c:auto val="1"/>
        <c:lblAlgn val="ctr"/>
        <c:lblOffset val="100"/>
        <c:noMultiLvlLbl val="0"/>
      </c:catAx>
      <c:valAx>
        <c:axId val="19238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80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</xdr:colOff>
      <xdr:row>14</xdr:row>
      <xdr:rowOff>34290</xdr:rowOff>
    </xdr:from>
    <xdr:to>
      <xdr:col>24</xdr:col>
      <xdr:colOff>327660</xdr:colOff>
      <xdr:row>29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5BF999-BAEE-FE79-ECAB-FC1F705AD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10.91294642857139</v>
      </c>
    </row>
    <row r="3" spans="1:2" x14ac:dyDescent="0.3">
      <c r="A3" t="s">
        <v>3</v>
      </c>
      <c r="B3">
        <v>7.4818268064190931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8</v>
      </c>
      <c r="B1" s="1" t="s">
        <v>9</v>
      </c>
      <c r="C1" s="1" t="s">
        <v>10</v>
      </c>
    </row>
    <row r="2" spans="1:3" x14ac:dyDescent="0.3">
      <c r="A2">
        <v>1</v>
      </c>
      <c r="B2">
        <v>-75.71875</v>
      </c>
      <c r="C2">
        <v>0.88260962708814195</v>
      </c>
    </row>
    <row r="3" spans="1:3" x14ac:dyDescent="0.3">
      <c r="A3">
        <v>2</v>
      </c>
      <c r="B3">
        <v>29.15625</v>
      </c>
      <c r="C3">
        <v>1.044606345887354</v>
      </c>
    </row>
    <row r="4" spans="1:3" x14ac:dyDescent="0.3">
      <c r="A4">
        <v>3</v>
      </c>
      <c r="B4">
        <v>-34.96875</v>
      </c>
      <c r="C4">
        <v>0.94417603500328418</v>
      </c>
    </row>
    <row r="5" spans="1:3" x14ac:dyDescent="0.3">
      <c r="A5">
        <v>4</v>
      </c>
      <c r="B5">
        <v>81.53125</v>
      </c>
      <c r="C5">
        <v>1.12860799202122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"/>
  <sheetViews>
    <sheetView tabSelected="1" workbookViewId="0">
      <selection activeCell="P21" sqref="D1:P21"/>
    </sheetView>
  </sheetViews>
  <sheetFormatPr defaultRowHeight="14.4" x14ac:dyDescent="0.3"/>
  <sheetData>
    <row r="1" spans="1:16" x14ac:dyDescent="0.3">
      <c r="A1" s="1" t="s">
        <v>11</v>
      </c>
      <c r="B1" s="1" t="s">
        <v>8</v>
      </c>
      <c r="C1" s="1" t="s">
        <v>12</v>
      </c>
      <c r="D1" s="1" t="s">
        <v>13</v>
      </c>
      <c r="E1" s="1" t="s">
        <v>14</v>
      </c>
      <c r="F1" s="2" t="s">
        <v>25</v>
      </c>
      <c r="I1" s="3" t="s">
        <v>26</v>
      </c>
      <c r="L1" t="s">
        <v>27</v>
      </c>
      <c r="M1" t="s">
        <v>28</v>
      </c>
      <c r="N1" t="s">
        <v>30</v>
      </c>
      <c r="O1" t="s">
        <v>29</v>
      </c>
      <c r="P1" t="s">
        <v>30</v>
      </c>
    </row>
    <row r="2" spans="1:16" x14ac:dyDescent="0.3">
      <c r="A2">
        <v>1</v>
      </c>
      <c r="B2">
        <v>1</v>
      </c>
      <c r="C2">
        <v>510</v>
      </c>
      <c r="H2">
        <v>-75.71875</v>
      </c>
      <c r="K2">
        <v>0.88260962708814206</v>
      </c>
      <c r="L2">
        <f>568.75 + 10.89*A2</f>
        <v>579.64</v>
      </c>
      <c r="M2">
        <f>L2+H2</f>
        <v>503.92124999999999</v>
      </c>
      <c r="N2">
        <f>C2-M2</f>
        <v>6.0787500000000136</v>
      </c>
      <c r="O2">
        <f>L2*K2</f>
        <v>511.59584424537064</v>
      </c>
      <c r="P2">
        <f>C2-O2</f>
        <v>-1.5958442453706425</v>
      </c>
    </row>
    <row r="3" spans="1:16" x14ac:dyDescent="0.3">
      <c r="A3">
        <v>2</v>
      </c>
      <c r="B3">
        <v>2</v>
      </c>
      <c r="C3">
        <v>620</v>
      </c>
      <c r="D3">
        <f>AVERAGE(C2:C5)</f>
        <v>597.5</v>
      </c>
      <c r="H3">
        <v>29.15625</v>
      </c>
      <c r="K3">
        <v>1.044606345887354</v>
      </c>
      <c r="L3">
        <f t="shared" ref="L3:L17" si="0">568.75 + 10.89*A3</f>
        <v>590.53</v>
      </c>
      <c r="M3">
        <f t="shared" ref="M3:M17" si="1">L3+H3</f>
        <v>619.68624999999997</v>
      </c>
      <c r="N3">
        <f t="shared" ref="N3:N17" si="2">C3-M3</f>
        <v>0.31375000000002728</v>
      </c>
      <c r="O3">
        <f t="shared" ref="O3:O17" si="3">L3*K3</f>
        <v>616.8713854368591</v>
      </c>
      <c r="P3">
        <f t="shared" ref="P3:P17" si="4">C3-O3</f>
        <v>3.1286145631408999</v>
      </c>
    </row>
    <row r="4" spans="1:16" x14ac:dyDescent="0.3">
      <c r="A4">
        <v>3</v>
      </c>
      <c r="B4">
        <v>3</v>
      </c>
      <c r="C4">
        <v>570</v>
      </c>
      <c r="D4">
        <f>AVERAGE(C3:C6)</f>
        <v>607</v>
      </c>
      <c r="E4">
        <f>AVERAGE(D3:D4)</f>
        <v>602.25</v>
      </c>
      <c r="F4">
        <f>C4-E4</f>
        <v>-32.25</v>
      </c>
      <c r="G4">
        <f>AVERAGE(F4,F8)</f>
        <v>-34.75</v>
      </c>
      <c r="H4">
        <f>G4-AVERAGE(G$4:G$7)</f>
        <v>-34.96875</v>
      </c>
      <c r="I4">
        <f>C4/E4</f>
        <v>0.9464508094645081</v>
      </c>
      <c r="J4">
        <f>AVERAGE(I4,I8)</f>
        <v>0.94436062363965423</v>
      </c>
      <c r="K4">
        <f>(J4*4)/SUM(J$4:J$7)</f>
        <v>0.9441760350032844</v>
      </c>
      <c r="L4">
        <f t="shared" si="0"/>
        <v>601.41999999999996</v>
      </c>
      <c r="M4">
        <f t="shared" si="1"/>
        <v>566.45124999999996</v>
      </c>
      <c r="N4">
        <f t="shared" si="2"/>
        <v>3.5487500000000409</v>
      </c>
      <c r="O4">
        <f t="shared" si="3"/>
        <v>567.84635097167529</v>
      </c>
      <c r="P4">
        <f t="shared" si="4"/>
        <v>2.1536490283247076</v>
      </c>
    </row>
    <row r="5" spans="1:16" x14ac:dyDescent="0.3">
      <c r="A5">
        <v>4</v>
      </c>
      <c r="B5">
        <v>4</v>
      </c>
      <c r="C5">
        <v>690</v>
      </c>
      <c r="D5">
        <f t="shared" ref="D5:D13" si="5">AVERAGE(C4:C7)</f>
        <v>617.5</v>
      </c>
      <c r="E5">
        <f t="shared" ref="E5:E11" si="6">AVERAGE(D4:D5)</f>
        <v>612.25</v>
      </c>
      <c r="F5">
        <f t="shared" ref="F5:F11" si="7">C5-E5</f>
        <v>77.75</v>
      </c>
      <c r="G5">
        <f>AVERAGE(F5,F9)</f>
        <v>81.75</v>
      </c>
      <c r="H5">
        <f t="shared" ref="H5:H7" si="8">G5-AVERAGE(G$4:G$7)</f>
        <v>81.53125</v>
      </c>
      <c r="I5">
        <f t="shared" ref="I5:I11" si="9">C5/E5</f>
        <v>1.1269906084115966</v>
      </c>
      <c r="J5">
        <f t="shared" ref="J5:J7" si="10">AVERAGE(I5,I9)</f>
        <v>1.1288286375391317</v>
      </c>
      <c r="K5">
        <f t="shared" ref="K5:K7" si="11">(J5*4)/SUM(J$4:J$7)</f>
        <v>1.1286079920212198</v>
      </c>
      <c r="L5">
        <f t="shared" si="0"/>
        <v>612.30999999999995</v>
      </c>
      <c r="M5">
        <f t="shared" si="1"/>
        <v>693.84124999999995</v>
      </c>
      <c r="N5">
        <f t="shared" si="2"/>
        <v>-3.8412499999999454</v>
      </c>
      <c r="O5">
        <f t="shared" si="3"/>
        <v>691.05795959451302</v>
      </c>
      <c r="P5">
        <f t="shared" si="4"/>
        <v>-1.0579595945130222</v>
      </c>
    </row>
    <row r="6" spans="1:16" x14ac:dyDescent="0.3">
      <c r="A6">
        <v>5</v>
      </c>
      <c r="B6">
        <v>1</v>
      </c>
      <c r="C6">
        <v>548</v>
      </c>
      <c r="D6">
        <f t="shared" si="5"/>
        <v>627</v>
      </c>
      <c r="E6">
        <f t="shared" si="6"/>
        <v>622.25</v>
      </c>
      <c r="F6">
        <f t="shared" si="7"/>
        <v>-74.25</v>
      </c>
      <c r="G6">
        <f>AVERAGE(F6,F10)</f>
        <v>-75.5</v>
      </c>
      <c r="H6">
        <f t="shared" si="8"/>
        <v>-75.71875</v>
      </c>
      <c r="I6">
        <f t="shared" si="9"/>
        <v>0.88067496986741667</v>
      </c>
      <c r="J6">
        <f t="shared" si="10"/>
        <v>0.88278217934690661</v>
      </c>
      <c r="K6">
        <f t="shared" si="11"/>
        <v>0.88260962708814206</v>
      </c>
      <c r="L6">
        <f t="shared" si="0"/>
        <v>623.20000000000005</v>
      </c>
      <c r="M6">
        <f t="shared" si="1"/>
        <v>547.48125000000005</v>
      </c>
      <c r="N6">
        <f t="shared" si="2"/>
        <v>0.51874999999995453</v>
      </c>
      <c r="O6">
        <f t="shared" si="3"/>
        <v>550.04231960133018</v>
      </c>
      <c r="P6">
        <f t="shared" si="4"/>
        <v>-2.0423196013301776</v>
      </c>
    </row>
    <row r="7" spans="1:16" x14ac:dyDescent="0.3">
      <c r="A7">
        <v>6</v>
      </c>
      <c r="B7">
        <v>2</v>
      </c>
      <c r="C7">
        <v>662</v>
      </c>
      <c r="D7">
        <f t="shared" si="5"/>
        <v>640</v>
      </c>
      <c r="E7">
        <f t="shared" si="6"/>
        <v>633.5</v>
      </c>
      <c r="F7">
        <f t="shared" si="7"/>
        <v>28.5</v>
      </c>
      <c r="G7">
        <f>AVERAGE(F7,F11)</f>
        <v>29.375</v>
      </c>
      <c r="H7">
        <f t="shared" si="8"/>
        <v>29.15625</v>
      </c>
      <c r="I7">
        <f t="shared" si="9"/>
        <v>1.0449881610102605</v>
      </c>
      <c r="J7">
        <f t="shared" si="10"/>
        <v>1.0448105688858016</v>
      </c>
      <c r="K7">
        <f t="shared" si="11"/>
        <v>1.044606345887354</v>
      </c>
      <c r="L7">
        <f t="shared" si="0"/>
        <v>634.09</v>
      </c>
      <c r="M7">
        <f t="shared" si="1"/>
        <v>663.24625000000003</v>
      </c>
      <c r="N7">
        <f t="shared" si="2"/>
        <v>-1.2462500000000318</v>
      </c>
      <c r="O7">
        <f t="shared" si="3"/>
        <v>662.37443786371239</v>
      </c>
      <c r="P7">
        <f t="shared" si="4"/>
        <v>-0.3744378637123873</v>
      </c>
    </row>
    <row r="8" spans="1:16" x14ac:dyDescent="0.3">
      <c r="A8">
        <v>7</v>
      </c>
      <c r="B8">
        <v>3</v>
      </c>
      <c r="C8">
        <v>608</v>
      </c>
      <c r="D8">
        <f t="shared" si="5"/>
        <v>650.5</v>
      </c>
      <c r="E8">
        <f t="shared" si="6"/>
        <v>645.25</v>
      </c>
      <c r="F8">
        <f t="shared" si="7"/>
        <v>-37.25</v>
      </c>
      <c r="H8">
        <v>-34.96875</v>
      </c>
      <c r="I8">
        <f t="shared" si="9"/>
        <v>0.94227043781480047</v>
      </c>
      <c r="K8">
        <v>0.9441760350032844</v>
      </c>
      <c r="L8">
        <f t="shared" si="0"/>
        <v>644.98</v>
      </c>
      <c r="M8">
        <f t="shared" si="1"/>
        <v>610.01125000000002</v>
      </c>
      <c r="N8">
        <f t="shared" si="2"/>
        <v>-2.0112500000000182</v>
      </c>
      <c r="O8">
        <f t="shared" si="3"/>
        <v>608.97465905641843</v>
      </c>
      <c r="P8">
        <f t="shared" si="4"/>
        <v>-0.97465905641843165</v>
      </c>
    </row>
    <row r="9" spans="1:16" x14ac:dyDescent="0.3">
      <c r="A9">
        <v>8</v>
      </c>
      <c r="B9">
        <v>4</v>
      </c>
      <c r="C9">
        <v>742</v>
      </c>
      <c r="D9">
        <f t="shared" si="5"/>
        <v>662</v>
      </c>
      <c r="E9">
        <f t="shared" si="6"/>
        <v>656.25</v>
      </c>
      <c r="F9">
        <f t="shared" si="7"/>
        <v>85.75</v>
      </c>
      <c r="H9">
        <v>81.53125</v>
      </c>
      <c r="I9">
        <f t="shared" si="9"/>
        <v>1.1306666666666667</v>
      </c>
      <c r="K9">
        <v>1.1286079920212198</v>
      </c>
      <c r="L9">
        <f t="shared" si="0"/>
        <v>655.87</v>
      </c>
      <c r="M9">
        <f t="shared" si="1"/>
        <v>737.40125</v>
      </c>
      <c r="N9">
        <f t="shared" si="2"/>
        <v>4.5987499999999955</v>
      </c>
      <c r="O9">
        <f t="shared" si="3"/>
        <v>740.22012372695735</v>
      </c>
      <c r="P9">
        <f t="shared" si="4"/>
        <v>1.7798762730426461</v>
      </c>
    </row>
    <row r="10" spans="1:16" x14ac:dyDescent="0.3">
      <c r="A10">
        <v>9</v>
      </c>
      <c r="B10">
        <v>1</v>
      </c>
      <c r="C10">
        <v>590</v>
      </c>
      <c r="D10">
        <f t="shared" si="5"/>
        <v>671.5</v>
      </c>
      <c r="E10">
        <f t="shared" si="6"/>
        <v>666.75</v>
      </c>
      <c r="F10">
        <f t="shared" si="7"/>
        <v>-76.75</v>
      </c>
      <c r="H10">
        <v>-75.71875</v>
      </c>
      <c r="I10">
        <f t="shared" si="9"/>
        <v>0.88488938882639667</v>
      </c>
      <c r="K10">
        <v>0.88260962708814206</v>
      </c>
      <c r="L10">
        <f t="shared" si="0"/>
        <v>666.76</v>
      </c>
      <c r="M10">
        <f t="shared" si="1"/>
        <v>591.04124999999999</v>
      </c>
      <c r="N10">
        <f t="shared" si="2"/>
        <v>-1.0412499999999909</v>
      </c>
      <c r="O10">
        <f t="shared" si="3"/>
        <v>588.48879495728954</v>
      </c>
      <c r="P10">
        <f t="shared" si="4"/>
        <v>1.5112050427104577</v>
      </c>
    </row>
    <row r="11" spans="1:16" x14ac:dyDescent="0.3">
      <c r="A11">
        <v>10</v>
      </c>
      <c r="B11">
        <v>2</v>
      </c>
      <c r="C11">
        <v>708</v>
      </c>
      <c r="D11">
        <f t="shared" si="5"/>
        <v>684</v>
      </c>
      <c r="E11">
        <f t="shared" si="6"/>
        <v>677.75</v>
      </c>
      <c r="F11">
        <f t="shared" si="7"/>
        <v>30.25</v>
      </c>
      <c r="H11">
        <v>29.15625</v>
      </c>
      <c r="I11">
        <f t="shared" si="9"/>
        <v>1.0446329767613427</v>
      </c>
      <c r="K11">
        <v>1.044606345887354</v>
      </c>
      <c r="L11">
        <f t="shared" si="0"/>
        <v>677.65</v>
      </c>
      <c r="M11">
        <f t="shared" si="1"/>
        <v>706.80624999999998</v>
      </c>
      <c r="N11">
        <f t="shared" si="2"/>
        <v>1.1937500000000227</v>
      </c>
      <c r="O11">
        <f t="shared" si="3"/>
        <v>707.87749029056545</v>
      </c>
      <c r="P11">
        <f t="shared" si="4"/>
        <v>0.12250970943455286</v>
      </c>
    </row>
    <row r="12" spans="1:16" x14ac:dyDescent="0.3">
      <c r="A12">
        <v>11</v>
      </c>
      <c r="B12">
        <v>3</v>
      </c>
      <c r="C12">
        <v>646</v>
      </c>
      <c r="H12">
        <v>-34.96875</v>
      </c>
      <c r="K12">
        <v>0.9441760350032844</v>
      </c>
      <c r="L12">
        <f t="shared" si="0"/>
        <v>688.54</v>
      </c>
      <c r="M12">
        <f t="shared" si="1"/>
        <v>653.57124999999996</v>
      </c>
      <c r="N12">
        <f t="shared" si="2"/>
        <v>-7.5712499999999636</v>
      </c>
      <c r="O12">
        <f t="shared" si="3"/>
        <v>650.10296714116146</v>
      </c>
      <c r="P12">
        <f t="shared" si="4"/>
        <v>-4.1029671411614572</v>
      </c>
    </row>
    <row r="13" spans="1:16" x14ac:dyDescent="0.3">
      <c r="A13">
        <v>12</v>
      </c>
      <c r="B13">
        <v>4</v>
      </c>
      <c r="C13">
        <v>792</v>
      </c>
      <c r="H13">
        <v>81.53125</v>
      </c>
      <c r="K13">
        <v>1.1286079920212198</v>
      </c>
      <c r="L13">
        <f t="shared" si="0"/>
        <v>699.43000000000006</v>
      </c>
      <c r="M13">
        <f t="shared" si="1"/>
        <v>780.96125000000006</v>
      </c>
      <c r="N13">
        <f t="shared" si="2"/>
        <v>11.038749999999936</v>
      </c>
      <c r="O13">
        <f t="shared" si="3"/>
        <v>789.3822878594018</v>
      </c>
      <c r="P13">
        <f t="shared" si="4"/>
        <v>2.6177121405982007</v>
      </c>
    </row>
    <row r="14" spans="1:16" x14ac:dyDescent="0.3">
      <c r="A14">
        <v>13</v>
      </c>
      <c r="B14">
        <v>1</v>
      </c>
      <c r="C14">
        <v>636</v>
      </c>
      <c r="H14">
        <v>-75.71875</v>
      </c>
      <c r="K14">
        <v>0.88260962708814206</v>
      </c>
      <c r="L14">
        <f t="shared" si="0"/>
        <v>710.31999999999994</v>
      </c>
      <c r="M14">
        <f t="shared" si="1"/>
        <v>634.60124999999994</v>
      </c>
      <c r="N14">
        <f t="shared" si="2"/>
        <v>1.3987500000000637</v>
      </c>
      <c r="O14">
        <f t="shared" si="3"/>
        <v>626.93527031324902</v>
      </c>
      <c r="P14">
        <f t="shared" si="4"/>
        <v>9.0647296867509795</v>
      </c>
    </row>
    <row r="15" spans="1:16" x14ac:dyDescent="0.3">
      <c r="A15">
        <v>14</v>
      </c>
      <c r="B15">
        <v>2</v>
      </c>
      <c r="C15">
        <v>760</v>
      </c>
      <c r="H15">
        <v>29.15625</v>
      </c>
      <c r="K15">
        <v>1.044606345887354</v>
      </c>
      <c r="L15">
        <f t="shared" si="0"/>
        <v>721.21</v>
      </c>
      <c r="M15">
        <f t="shared" si="1"/>
        <v>750.36625000000004</v>
      </c>
      <c r="N15">
        <f t="shared" si="2"/>
        <v>9.6337499999999636</v>
      </c>
      <c r="O15">
        <f t="shared" si="3"/>
        <v>753.38054271741862</v>
      </c>
      <c r="P15">
        <f t="shared" si="4"/>
        <v>6.6194572825813793</v>
      </c>
    </row>
    <row r="16" spans="1:16" x14ac:dyDescent="0.3">
      <c r="A16">
        <v>15</v>
      </c>
      <c r="B16">
        <v>3</v>
      </c>
      <c r="C16">
        <v>692</v>
      </c>
      <c r="H16">
        <v>-34.96875</v>
      </c>
      <c r="K16">
        <v>0.9441760350032844</v>
      </c>
      <c r="L16">
        <f t="shared" si="0"/>
        <v>732.1</v>
      </c>
      <c r="M16">
        <f t="shared" si="1"/>
        <v>697.13125000000002</v>
      </c>
      <c r="N16">
        <f t="shared" si="2"/>
        <v>-5.1312500000000227</v>
      </c>
      <c r="O16">
        <f t="shared" si="3"/>
        <v>691.23127522590448</v>
      </c>
      <c r="P16">
        <f t="shared" si="4"/>
        <v>0.7687247740955172</v>
      </c>
    </row>
    <row r="17" spans="1:16" x14ac:dyDescent="0.3">
      <c r="A17">
        <v>16</v>
      </c>
      <c r="B17">
        <v>4</v>
      </c>
      <c r="C17">
        <v>852</v>
      </c>
      <c r="H17">
        <v>81.53125</v>
      </c>
      <c r="K17">
        <v>1.1286079920212198</v>
      </c>
      <c r="L17">
        <f t="shared" si="0"/>
        <v>742.99</v>
      </c>
      <c r="M17">
        <f t="shared" si="1"/>
        <v>824.52125000000001</v>
      </c>
      <c r="N17">
        <f t="shared" si="2"/>
        <v>27.478749999999991</v>
      </c>
      <c r="O17">
        <f t="shared" si="3"/>
        <v>838.54445199184602</v>
      </c>
      <c r="P17">
        <f t="shared" si="4"/>
        <v>13.455548008153983</v>
      </c>
    </row>
    <row r="18" spans="1:16" x14ac:dyDescent="0.3">
      <c r="A18">
        <v>17</v>
      </c>
      <c r="H18">
        <v>-75.71875</v>
      </c>
      <c r="K18">
        <v>0.88260962708814206</v>
      </c>
      <c r="L18">
        <f t="shared" ref="L18:L21" si="12">568.75 + 10.89*A18</f>
        <v>753.88</v>
      </c>
      <c r="M18">
        <f t="shared" ref="M18:M21" si="13">L18+H18</f>
        <v>678.16125</v>
      </c>
      <c r="N18">
        <f t="shared" ref="N18:N21" si="14">C18-M18</f>
        <v>-678.16125</v>
      </c>
      <c r="O18">
        <f t="shared" ref="O18:O21" si="15">L18*K18</f>
        <v>665.3817456692085</v>
      </c>
      <c r="P18">
        <f t="shared" ref="P18:P21" si="16">C18-O18</f>
        <v>-665.3817456692085</v>
      </c>
    </row>
    <row r="19" spans="1:16" x14ac:dyDescent="0.3">
      <c r="A19">
        <v>18</v>
      </c>
      <c r="H19">
        <v>29.15625</v>
      </c>
      <c r="K19">
        <v>1.044606345887354</v>
      </c>
      <c r="L19">
        <f t="shared" si="12"/>
        <v>764.77</v>
      </c>
      <c r="M19">
        <f t="shared" si="13"/>
        <v>793.92624999999998</v>
      </c>
      <c r="N19">
        <f t="shared" si="14"/>
        <v>-793.92624999999998</v>
      </c>
      <c r="O19">
        <f t="shared" si="15"/>
        <v>798.88359514427168</v>
      </c>
      <c r="P19">
        <f t="shared" si="16"/>
        <v>-798.88359514427168</v>
      </c>
    </row>
    <row r="20" spans="1:16" x14ac:dyDescent="0.3">
      <c r="A20">
        <v>19</v>
      </c>
      <c r="H20">
        <v>-34.96875</v>
      </c>
      <c r="K20">
        <v>0.9441760350032844</v>
      </c>
      <c r="L20">
        <f t="shared" si="12"/>
        <v>775.66000000000008</v>
      </c>
      <c r="M20">
        <f t="shared" si="13"/>
        <v>740.69125000000008</v>
      </c>
      <c r="N20">
        <f t="shared" si="14"/>
        <v>-740.69125000000008</v>
      </c>
      <c r="O20">
        <f t="shared" si="15"/>
        <v>732.35958331064762</v>
      </c>
      <c r="P20">
        <f t="shared" si="16"/>
        <v>-732.35958331064762</v>
      </c>
    </row>
    <row r="21" spans="1:16" x14ac:dyDescent="0.3">
      <c r="A21">
        <v>20</v>
      </c>
      <c r="H21">
        <v>81.53125</v>
      </c>
      <c r="K21">
        <v>1.1286079920212198</v>
      </c>
      <c r="L21">
        <f t="shared" si="12"/>
        <v>786.55</v>
      </c>
      <c r="M21">
        <f t="shared" si="13"/>
        <v>868.08124999999995</v>
      </c>
      <c r="N21">
        <f t="shared" si="14"/>
        <v>-868.08124999999995</v>
      </c>
      <c r="O21">
        <f t="shared" si="15"/>
        <v>887.70661612429035</v>
      </c>
      <c r="P21">
        <f t="shared" si="16"/>
        <v>-887.70661612429035</v>
      </c>
    </row>
    <row r="26" spans="1:16" x14ac:dyDescent="0.3">
      <c r="N26">
        <f>(ABS(N14)+ABS(N15)+ABS(N16)+ABS(N17))/4</f>
        <v>10.91062500000001</v>
      </c>
      <c r="P26">
        <f>(ABS(P14)+ABS(P15)+ABS(P16)+ABS(P17))/4</f>
        <v>7.4771149378954647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K2" sqref="K2"/>
    </sheetView>
  </sheetViews>
  <sheetFormatPr defaultRowHeight="14.4" x14ac:dyDescent="0.3"/>
  <cols>
    <col min="6" max="6" width="12.44140625" bestFit="1" customWidth="1"/>
    <col min="7" max="7" width="13.21875" bestFit="1" customWidth="1"/>
  </cols>
  <sheetData>
    <row r="1" spans="1:7" x14ac:dyDescent="0.3">
      <c r="A1" s="1" t="s">
        <v>11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">
      <c r="A2">
        <v>3</v>
      </c>
      <c r="B2">
        <v>3</v>
      </c>
      <c r="C2">
        <v>570</v>
      </c>
      <c r="E2">
        <v>602.25</v>
      </c>
      <c r="F2">
        <v>-32.25</v>
      </c>
      <c r="G2">
        <v>0.9464508094645081</v>
      </c>
    </row>
    <row r="3" spans="1:7" x14ac:dyDescent="0.3">
      <c r="A3">
        <v>4</v>
      </c>
      <c r="B3">
        <v>4</v>
      </c>
      <c r="C3">
        <v>690</v>
      </c>
      <c r="D3">
        <v>597.5</v>
      </c>
      <c r="E3">
        <v>612.25</v>
      </c>
      <c r="F3">
        <v>77.75</v>
      </c>
      <c r="G3">
        <v>1.126990608411597</v>
      </c>
    </row>
    <row r="4" spans="1:7" x14ac:dyDescent="0.3">
      <c r="A4">
        <v>5</v>
      </c>
      <c r="B4">
        <v>1</v>
      </c>
      <c r="C4">
        <v>548</v>
      </c>
      <c r="D4">
        <v>607</v>
      </c>
      <c r="E4">
        <v>622.25</v>
      </c>
      <c r="F4">
        <v>-74.25</v>
      </c>
      <c r="G4">
        <v>0.88067496986741667</v>
      </c>
    </row>
    <row r="5" spans="1:7" x14ac:dyDescent="0.3">
      <c r="A5">
        <v>6</v>
      </c>
      <c r="B5">
        <v>2</v>
      </c>
      <c r="C5">
        <v>662</v>
      </c>
      <c r="D5">
        <v>617.5</v>
      </c>
      <c r="E5">
        <v>633.5</v>
      </c>
      <c r="F5">
        <v>28.5</v>
      </c>
      <c r="G5">
        <v>1.04498816101026</v>
      </c>
    </row>
    <row r="6" spans="1:7" x14ac:dyDescent="0.3">
      <c r="A6">
        <v>7</v>
      </c>
      <c r="B6">
        <v>3</v>
      </c>
      <c r="C6">
        <v>608</v>
      </c>
      <c r="D6">
        <v>627</v>
      </c>
      <c r="E6">
        <v>645.25</v>
      </c>
      <c r="F6">
        <v>-37.25</v>
      </c>
      <c r="G6">
        <v>0.94227043781480047</v>
      </c>
    </row>
    <row r="7" spans="1:7" x14ac:dyDescent="0.3">
      <c r="A7">
        <v>8</v>
      </c>
      <c r="B7">
        <v>4</v>
      </c>
      <c r="C7">
        <v>742</v>
      </c>
      <c r="D7">
        <v>640</v>
      </c>
      <c r="E7">
        <v>656.25</v>
      </c>
      <c r="F7">
        <v>85.75</v>
      </c>
      <c r="G7">
        <v>1.1306666666666669</v>
      </c>
    </row>
    <row r="8" spans="1:7" x14ac:dyDescent="0.3">
      <c r="A8">
        <v>9</v>
      </c>
      <c r="B8">
        <v>1</v>
      </c>
      <c r="C8">
        <v>590</v>
      </c>
      <c r="D8">
        <v>650.5</v>
      </c>
      <c r="E8">
        <v>666.75</v>
      </c>
      <c r="F8">
        <v>-76.75</v>
      </c>
      <c r="G8">
        <v>0.88488938882639667</v>
      </c>
    </row>
    <row r="9" spans="1:7" x14ac:dyDescent="0.3">
      <c r="A9">
        <v>10</v>
      </c>
      <c r="B9">
        <v>2</v>
      </c>
      <c r="C9">
        <v>708</v>
      </c>
      <c r="D9">
        <v>662</v>
      </c>
      <c r="E9">
        <v>677.75</v>
      </c>
      <c r="F9">
        <v>30.25</v>
      </c>
      <c r="G9">
        <v>1.0446329767613429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/>
  </sheetViews>
  <sheetFormatPr defaultRowHeight="14.4" x14ac:dyDescent="0.3"/>
  <sheetData>
    <row r="1" spans="1:7" x14ac:dyDescent="0.3">
      <c r="A1" s="1" t="s">
        <v>11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17</v>
      </c>
      <c r="G1" s="1" t="s">
        <v>18</v>
      </c>
    </row>
    <row r="2" spans="1:7" x14ac:dyDescent="0.3">
      <c r="A2">
        <v>1</v>
      </c>
      <c r="B2">
        <v>1</v>
      </c>
      <c r="C2">
        <v>510</v>
      </c>
      <c r="F2">
        <v>585.71875</v>
      </c>
      <c r="G2">
        <v>577.83190251681765</v>
      </c>
    </row>
    <row r="3" spans="1:7" x14ac:dyDescent="0.3">
      <c r="A3">
        <v>2</v>
      </c>
      <c r="B3">
        <v>2</v>
      </c>
      <c r="C3">
        <v>620</v>
      </c>
      <c r="F3">
        <v>590.84375</v>
      </c>
      <c r="G3">
        <v>593.52501776478618</v>
      </c>
    </row>
    <row r="4" spans="1:7" x14ac:dyDescent="0.3">
      <c r="A4">
        <v>3</v>
      </c>
      <c r="B4">
        <v>3</v>
      </c>
      <c r="C4">
        <v>570</v>
      </c>
      <c r="E4">
        <v>602.25</v>
      </c>
      <c r="F4">
        <v>604.96875</v>
      </c>
      <c r="G4">
        <v>603.70098251648312</v>
      </c>
    </row>
    <row r="5" spans="1:7" x14ac:dyDescent="0.3">
      <c r="A5">
        <v>4</v>
      </c>
      <c r="B5">
        <v>4</v>
      </c>
      <c r="C5">
        <v>690</v>
      </c>
      <c r="D5">
        <v>597.5</v>
      </c>
      <c r="E5">
        <v>612.25</v>
      </c>
      <c r="F5">
        <v>608.46875</v>
      </c>
      <c r="G5">
        <v>611.37259781784974</v>
      </c>
    </row>
    <row r="6" spans="1:7" x14ac:dyDescent="0.3">
      <c r="A6">
        <v>5</v>
      </c>
      <c r="B6">
        <v>1</v>
      </c>
      <c r="C6">
        <v>548</v>
      </c>
      <c r="D6">
        <v>607</v>
      </c>
      <c r="E6">
        <v>622.25</v>
      </c>
      <c r="F6">
        <v>623.71875</v>
      </c>
      <c r="G6">
        <v>620.88604427297264</v>
      </c>
    </row>
    <row r="7" spans="1:7" x14ac:dyDescent="0.3">
      <c r="A7">
        <v>6</v>
      </c>
      <c r="B7">
        <v>2</v>
      </c>
      <c r="C7">
        <v>662</v>
      </c>
      <c r="D7">
        <v>617.5</v>
      </c>
      <c r="E7">
        <v>633.5</v>
      </c>
      <c r="F7">
        <v>632.84375</v>
      </c>
      <c r="G7">
        <v>633.73155122627168</v>
      </c>
    </row>
    <row r="8" spans="1:7" x14ac:dyDescent="0.3">
      <c r="A8">
        <v>7</v>
      </c>
      <c r="B8">
        <v>3</v>
      </c>
      <c r="C8">
        <v>608</v>
      </c>
      <c r="D8">
        <v>627</v>
      </c>
      <c r="E8">
        <v>645.25</v>
      </c>
      <c r="F8">
        <v>642.96875</v>
      </c>
      <c r="G8">
        <v>643.94771468424869</v>
      </c>
    </row>
    <row r="9" spans="1:7" x14ac:dyDescent="0.3">
      <c r="A9">
        <v>8</v>
      </c>
      <c r="B9">
        <v>4</v>
      </c>
      <c r="C9">
        <v>742</v>
      </c>
      <c r="D9">
        <v>640</v>
      </c>
      <c r="E9">
        <v>656.25</v>
      </c>
      <c r="F9">
        <v>660.46875</v>
      </c>
      <c r="G9">
        <v>657.44705446499199</v>
      </c>
    </row>
    <row r="10" spans="1:7" x14ac:dyDescent="0.3">
      <c r="A10">
        <v>9</v>
      </c>
      <c r="B10">
        <v>1</v>
      </c>
      <c r="C10">
        <v>590</v>
      </c>
      <c r="D10">
        <v>650.5</v>
      </c>
      <c r="E10">
        <v>666.75</v>
      </c>
      <c r="F10">
        <v>665.71875</v>
      </c>
      <c r="G10">
        <v>668.47220095082821</v>
      </c>
    </row>
    <row r="11" spans="1:7" x14ac:dyDescent="0.3">
      <c r="A11">
        <v>10</v>
      </c>
      <c r="B11">
        <v>2</v>
      </c>
      <c r="C11">
        <v>708</v>
      </c>
      <c r="D11">
        <v>662</v>
      </c>
      <c r="E11">
        <v>677.75</v>
      </c>
      <c r="F11">
        <v>678.84375</v>
      </c>
      <c r="G11">
        <v>677.76727835075576</v>
      </c>
    </row>
    <row r="12" spans="1:7" x14ac:dyDescent="0.3">
      <c r="A12">
        <v>11</v>
      </c>
      <c r="B12">
        <v>3</v>
      </c>
      <c r="C12">
        <v>646</v>
      </c>
      <c r="D12">
        <v>671.5</v>
      </c>
      <c r="F12">
        <v>680.96875</v>
      </c>
      <c r="G12">
        <v>684.19444685201415</v>
      </c>
    </row>
    <row r="13" spans="1:7" x14ac:dyDescent="0.3">
      <c r="A13">
        <v>12</v>
      </c>
      <c r="B13">
        <v>4</v>
      </c>
      <c r="C13">
        <v>792</v>
      </c>
      <c r="D13">
        <v>684</v>
      </c>
      <c r="F13">
        <v>710.46875</v>
      </c>
      <c r="G13">
        <v>701.74941662570575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>
      <selection activeCell="H2" sqref="H2"/>
    </sheetView>
  </sheetViews>
  <sheetFormatPr defaultRowHeight="14.4" x14ac:dyDescent="0.3"/>
  <sheetData>
    <row r="1" spans="1:11" x14ac:dyDescent="0.3">
      <c r="A1" s="1" t="s">
        <v>11</v>
      </c>
      <c r="B1" s="1" t="s">
        <v>8</v>
      </c>
      <c r="C1" s="1" t="s">
        <v>12</v>
      </c>
      <c r="D1" s="1" t="s">
        <v>13</v>
      </c>
      <c r="E1" s="1" t="s">
        <v>14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3">
      <c r="A2">
        <v>13</v>
      </c>
      <c r="B2">
        <v>1</v>
      </c>
      <c r="C2">
        <v>636</v>
      </c>
      <c r="F2">
        <v>710.31547619047626</v>
      </c>
      <c r="G2">
        <v>710.31547619047626</v>
      </c>
      <c r="H2">
        <v>634.59672619047626</v>
      </c>
      <c r="I2">
        <v>626.93127755541218</v>
      </c>
      <c r="J2">
        <v>1.4032738095237389</v>
      </c>
      <c r="K2">
        <v>9.0687224445878201</v>
      </c>
    </row>
    <row r="3" spans="1:11" x14ac:dyDescent="0.3">
      <c r="A3">
        <v>14</v>
      </c>
      <c r="B3">
        <v>2</v>
      </c>
      <c r="C3">
        <v>760</v>
      </c>
      <c r="F3">
        <v>721.20535714285722</v>
      </c>
      <c r="G3">
        <v>721.20535714285722</v>
      </c>
      <c r="H3">
        <v>750.36160714285722</v>
      </c>
      <c r="I3">
        <v>753.37569275938404</v>
      </c>
      <c r="J3">
        <v>9.6383928571427759</v>
      </c>
      <c r="K3">
        <v>6.6243072406159627</v>
      </c>
    </row>
    <row r="4" spans="1:11" x14ac:dyDescent="0.3">
      <c r="A4">
        <v>15</v>
      </c>
      <c r="B4">
        <v>3</v>
      </c>
      <c r="C4">
        <v>692</v>
      </c>
      <c r="F4">
        <v>732.09523809523819</v>
      </c>
      <c r="G4">
        <v>732.09523809523819</v>
      </c>
      <c r="H4">
        <v>697.12648809523819</v>
      </c>
      <c r="I4">
        <v>691.22677914954727</v>
      </c>
      <c r="J4">
        <v>5.1264880952381873</v>
      </c>
      <c r="K4">
        <v>0.7732208504527307</v>
      </c>
    </row>
    <row r="5" spans="1:11" x14ac:dyDescent="0.3">
      <c r="A5">
        <v>16</v>
      </c>
      <c r="B5">
        <v>4</v>
      </c>
      <c r="C5">
        <v>852</v>
      </c>
      <c r="F5">
        <v>742.98511904761915</v>
      </c>
      <c r="G5">
        <v>742.98511904761915</v>
      </c>
      <c r="H5">
        <v>824.51636904761915</v>
      </c>
      <c r="I5">
        <v>838.53894330998014</v>
      </c>
      <c r="J5">
        <v>27.48363095238085</v>
      </c>
      <c r="K5">
        <v>13.461056690019859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selection activeCell="C2" sqref="C2"/>
    </sheetView>
  </sheetViews>
  <sheetFormatPr defaultRowHeight="14.4" x14ac:dyDescent="0.3"/>
  <sheetData>
    <row r="1" spans="1:6" x14ac:dyDescent="0.3">
      <c r="A1" s="1" t="s">
        <v>11</v>
      </c>
      <c r="B1" s="1" t="s">
        <v>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">
      <c r="A2">
        <v>17</v>
      </c>
      <c r="B2">
        <v>1</v>
      </c>
      <c r="C2">
        <v>753.875</v>
      </c>
      <c r="D2">
        <v>753.87500000000011</v>
      </c>
      <c r="E2">
        <v>678.15625000000011</v>
      </c>
      <c r="F2">
        <v>665.37733262107315</v>
      </c>
    </row>
    <row r="3" spans="1:6" x14ac:dyDescent="0.3">
      <c r="A3">
        <v>18</v>
      </c>
      <c r="B3">
        <v>2</v>
      </c>
      <c r="C3">
        <v>764.76488095238108</v>
      </c>
      <c r="D3">
        <v>764.76488095238108</v>
      </c>
      <c r="E3">
        <v>793.92113095238108</v>
      </c>
      <c r="F3">
        <v>798.87824775464389</v>
      </c>
    </row>
    <row r="4" spans="1:6" x14ac:dyDescent="0.3">
      <c r="A4">
        <v>19</v>
      </c>
      <c r="B4">
        <v>3</v>
      </c>
      <c r="C4">
        <v>775.65476190476204</v>
      </c>
      <c r="D4">
        <v>775.65476190476204</v>
      </c>
      <c r="E4">
        <v>740.68601190476204</v>
      </c>
      <c r="F4">
        <v>732.35463762665461</v>
      </c>
    </row>
    <row r="5" spans="1:6" x14ac:dyDescent="0.3">
      <c r="A5">
        <v>20</v>
      </c>
      <c r="B5">
        <v>4</v>
      </c>
      <c r="C5">
        <v>786.544642857143</v>
      </c>
      <c r="D5">
        <v>786.544642857143</v>
      </c>
      <c r="E5">
        <v>868.075892857143</v>
      </c>
      <c r="F5">
        <v>887.70057001004739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Seasonal Indices</vt:lpstr>
      <vt:lpstr>Data and CMA</vt:lpstr>
      <vt:lpstr>Seasonal Variations</vt:lpstr>
      <vt:lpstr>Deseasonalised Trend</vt:lpstr>
      <vt:lpstr>Validation</vt:lpstr>
      <vt:lpstr>Future Forecasts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2026-05-01T12:35:32Z</dcterms:created>
  <dcterms:modified xsi:type="dcterms:W3CDTF">2026-06-02T13:24:49Z</dcterms:modified>
</cp:coreProperties>
</file>