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6" documentId="11_9A60249FEF3E202DE75ECEAB278FE169BAEF1840" xr6:coauthVersionLast="47" xr6:coauthVersionMax="47" xr10:uidLastSave="{36D32D82-0A63-4C74-A5DB-CAD063B58FA7}"/>
  <bookViews>
    <workbookView xWindow="-108" yWindow="-108" windowWidth="23256" windowHeight="13896" activeTab="1" xr2:uid="{00000000-000D-0000-FFFF-FFFF00000000}"/>
  </bookViews>
  <sheets>
    <sheet name="Q4 Inputs" sheetId="1" r:id="rId1"/>
    <sheet name="Q4 Sim 6 Bays" sheetId="2" r:id="rId2"/>
    <sheet name="Q4 Sim 7 Bays" sheetId="3" r:id="rId3"/>
    <sheet name="Q4 Sim 8 Bays" sheetId="4" r:id="rId4"/>
    <sheet name="Q4 Sim 9 Bays" sheetId="5" r:id="rId5"/>
    <sheet name="Q4 Capacity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E17" i="5"/>
  <c r="D17" i="5"/>
  <c r="C17" i="5"/>
  <c r="B17" i="5"/>
  <c r="A17" i="5"/>
  <c r="D16" i="5"/>
  <c r="E16" i="5" s="1"/>
  <c r="C16" i="5"/>
  <c r="B16" i="5"/>
  <c r="A16" i="5"/>
  <c r="E15" i="5"/>
  <c r="D15" i="5"/>
  <c r="B15" i="5"/>
  <c r="C15" i="5" s="1"/>
  <c r="A15" i="5"/>
  <c r="D14" i="5"/>
  <c r="E14" i="5" s="1"/>
  <c r="B14" i="5"/>
  <c r="C14" i="5" s="1"/>
  <c r="A14" i="5"/>
  <c r="D13" i="5"/>
  <c r="E13" i="5" s="1"/>
  <c r="B13" i="5"/>
  <c r="C13" i="5" s="1"/>
  <c r="A13" i="5"/>
  <c r="D12" i="5"/>
  <c r="E12" i="5" s="1"/>
  <c r="B12" i="5"/>
  <c r="C12" i="5" s="1"/>
  <c r="A12" i="5"/>
  <c r="D11" i="5"/>
  <c r="E11" i="5" s="1"/>
  <c r="B11" i="5"/>
  <c r="C11" i="5" s="1"/>
  <c r="A11" i="5"/>
  <c r="D10" i="5"/>
  <c r="E10" i="5" s="1"/>
  <c r="C10" i="5"/>
  <c r="B10" i="5"/>
  <c r="A10" i="5"/>
  <c r="D9" i="5"/>
  <c r="E9" i="5" s="1"/>
  <c r="B9" i="5"/>
  <c r="C9" i="5" s="1"/>
  <c r="A9" i="5"/>
  <c r="E8" i="5"/>
  <c r="D8" i="5"/>
  <c r="C8" i="5"/>
  <c r="B8" i="5"/>
  <c r="A8" i="5"/>
  <c r="D7" i="5"/>
  <c r="E7" i="5" s="1"/>
  <c r="B7" i="5"/>
  <c r="C7" i="5" s="1"/>
  <c r="A7" i="5"/>
  <c r="D6" i="5"/>
  <c r="E6" i="5" s="1"/>
  <c r="B6" i="5"/>
  <c r="C6" i="5" s="1"/>
  <c r="G6" i="5" s="1"/>
  <c r="A6" i="5"/>
  <c r="B3" i="5"/>
  <c r="B2" i="5"/>
  <c r="D17" i="4"/>
  <c r="E17" i="4" s="1"/>
  <c r="B17" i="4"/>
  <c r="C17" i="4" s="1"/>
  <c r="A17" i="4"/>
  <c r="D16" i="4"/>
  <c r="E16" i="4" s="1"/>
  <c r="B16" i="4"/>
  <c r="C16" i="4" s="1"/>
  <c r="A16" i="4"/>
  <c r="D15" i="4"/>
  <c r="E15" i="4" s="1"/>
  <c r="C15" i="4"/>
  <c r="B15" i="4"/>
  <c r="A15" i="4"/>
  <c r="D14" i="4"/>
  <c r="E14" i="4" s="1"/>
  <c r="B14" i="4"/>
  <c r="C14" i="4" s="1"/>
  <c r="A14" i="4"/>
  <c r="D13" i="4"/>
  <c r="E13" i="4" s="1"/>
  <c r="C13" i="4"/>
  <c r="B13" i="4"/>
  <c r="A13" i="4"/>
  <c r="D12" i="4"/>
  <c r="E12" i="4" s="1"/>
  <c r="B12" i="4"/>
  <c r="C12" i="4" s="1"/>
  <c r="A12" i="4"/>
  <c r="E11" i="4"/>
  <c r="D11" i="4"/>
  <c r="C11" i="4"/>
  <c r="B11" i="4"/>
  <c r="A11" i="4"/>
  <c r="D10" i="4"/>
  <c r="E10" i="4" s="1"/>
  <c r="B10" i="4"/>
  <c r="C10" i="4" s="1"/>
  <c r="A10" i="4"/>
  <c r="E9" i="4"/>
  <c r="D9" i="4"/>
  <c r="B9" i="4"/>
  <c r="C9" i="4" s="1"/>
  <c r="A9" i="4"/>
  <c r="D8" i="4"/>
  <c r="E8" i="4" s="1"/>
  <c r="B8" i="4"/>
  <c r="C8" i="4" s="1"/>
  <c r="A8" i="4"/>
  <c r="D7" i="4"/>
  <c r="E7" i="4" s="1"/>
  <c r="B7" i="4"/>
  <c r="C7" i="4" s="1"/>
  <c r="A7" i="4"/>
  <c r="D6" i="4"/>
  <c r="E6" i="4" s="1"/>
  <c r="B6" i="4"/>
  <c r="C6" i="4" s="1"/>
  <c r="G6" i="4" s="1"/>
  <c r="A6" i="4"/>
  <c r="B3" i="4"/>
  <c r="B2" i="4"/>
  <c r="D17" i="3"/>
  <c r="E17" i="3" s="1"/>
  <c r="B17" i="3"/>
  <c r="C17" i="3" s="1"/>
  <c r="A17" i="3"/>
  <c r="E16" i="3"/>
  <c r="D16" i="3"/>
  <c r="C16" i="3"/>
  <c r="B16" i="3"/>
  <c r="A16" i="3"/>
  <c r="D15" i="3"/>
  <c r="E15" i="3" s="1"/>
  <c r="B15" i="3"/>
  <c r="C15" i="3" s="1"/>
  <c r="A15" i="3"/>
  <c r="E14" i="3"/>
  <c r="D14" i="3"/>
  <c r="B14" i="3"/>
  <c r="C14" i="3" s="1"/>
  <c r="A14" i="3"/>
  <c r="D13" i="3"/>
  <c r="E13" i="3" s="1"/>
  <c r="C13" i="3"/>
  <c r="B13" i="3"/>
  <c r="A13" i="3"/>
  <c r="D12" i="3"/>
  <c r="E12" i="3" s="1"/>
  <c r="B12" i="3"/>
  <c r="C12" i="3" s="1"/>
  <c r="A12" i="3"/>
  <c r="D11" i="3"/>
  <c r="E11" i="3" s="1"/>
  <c r="B11" i="3"/>
  <c r="C11" i="3" s="1"/>
  <c r="A11" i="3"/>
  <c r="D10" i="3"/>
  <c r="E10" i="3" s="1"/>
  <c r="B10" i="3"/>
  <c r="C10" i="3" s="1"/>
  <c r="A10" i="3"/>
  <c r="D9" i="3"/>
  <c r="E9" i="3" s="1"/>
  <c r="C9" i="3"/>
  <c r="B9" i="3"/>
  <c r="A9" i="3"/>
  <c r="D8" i="3"/>
  <c r="E8" i="3" s="1"/>
  <c r="C8" i="3"/>
  <c r="B8" i="3"/>
  <c r="A8" i="3"/>
  <c r="D7" i="3"/>
  <c r="E7" i="3" s="1"/>
  <c r="C7" i="3"/>
  <c r="B7" i="3"/>
  <c r="A7" i="3"/>
  <c r="D6" i="3"/>
  <c r="E6" i="3" s="1"/>
  <c r="B6" i="3"/>
  <c r="C6" i="3" s="1"/>
  <c r="G6" i="3" s="1"/>
  <c r="A6" i="3"/>
  <c r="B3" i="3"/>
  <c r="B2" i="3"/>
  <c r="D17" i="2"/>
  <c r="E17" i="2" s="1"/>
  <c r="B17" i="2"/>
  <c r="C17" i="2" s="1"/>
  <c r="A17" i="2"/>
  <c r="D16" i="2"/>
  <c r="E16" i="2" s="1"/>
  <c r="B16" i="2"/>
  <c r="C16" i="2" s="1"/>
  <c r="A16" i="2"/>
  <c r="D15" i="2"/>
  <c r="E15" i="2" s="1"/>
  <c r="B15" i="2"/>
  <c r="C15" i="2" s="1"/>
  <c r="A15" i="2"/>
  <c r="D14" i="2"/>
  <c r="E14" i="2" s="1"/>
  <c r="B14" i="2"/>
  <c r="C14" i="2" s="1"/>
  <c r="A14" i="2"/>
  <c r="D13" i="2"/>
  <c r="E13" i="2" s="1"/>
  <c r="B13" i="2"/>
  <c r="C13" i="2" s="1"/>
  <c r="A13" i="2"/>
  <c r="D12" i="2"/>
  <c r="E12" i="2" s="1"/>
  <c r="C12" i="2"/>
  <c r="B12" i="2"/>
  <c r="A12" i="2"/>
  <c r="E11" i="2"/>
  <c r="D11" i="2"/>
  <c r="B11" i="2"/>
  <c r="C11" i="2" s="1"/>
  <c r="A11" i="2"/>
  <c r="E10" i="2"/>
  <c r="D10" i="2"/>
  <c r="C10" i="2"/>
  <c r="B10" i="2"/>
  <c r="A10" i="2"/>
  <c r="D9" i="2"/>
  <c r="E9" i="2" s="1"/>
  <c r="B9" i="2"/>
  <c r="C9" i="2" s="1"/>
  <c r="A9" i="2"/>
  <c r="E8" i="2"/>
  <c r="D8" i="2"/>
  <c r="B8" i="2"/>
  <c r="C8" i="2" s="1"/>
  <c r="A8" i="2"/>
  <c r="D7" i="2"/>
  <c r="E7" i="2" s="1"/>
  <c r="C7" i="2"/>
  <c r="B7" i="2"/>
  <c r="A7" i="2"/>
  <c r="E6" i="2"/>
  <c r="D6" i="2"/>
  <c r="B6" i="2"/>
  <c r="A6" i="2"/>
  <c r="B3" i="2"/>
  <c r="B2" i="2"/>
  <c r="G6" i="2" l="1"/>
  <c r="H6" i="2" s="1"/>
  <c r="H6" i="3"/>
  <c r="I6" i="3" s="1"/>
  <c r="H6" i="4"/>
  <c r="I6" i="4" s="1"/>
  <c r="H6" i="5"/>
  <c r="I6" i="5"/>
  <c r="I6" i="2"/>
  <c r="F7" i="4" l="1"/>
  <c r="G7" i="4" s="1"/>
  <c r="J6" i="4"/>
  <c r="J6" i="3"/>
  <c r="F7" i="3"/>
  <c r="G7" i="3" s="1"/>
  <c r="F7" i="5"/>
  <c r="G7" i="5" s="1"/>
  <c r="J6" i="5"/>
  <c r="F7" i="2"/>
  <c r="G7" i="2" s="1"/>
  <c r="J6" i="2"/>
  <c r="K6" i="2" l="1"/>
  <c r="H7" i="2"/>
  <c r="I7" i="2" s="1"/>
  <c r="H7" i="5"/>
  <c r="I7" i="5" s="1"/>
  <c r="K6" i="5"/>
  <c r="H7" i="3"/>
  <c r="I7" i="3" s="1"/>
  <c r="K6" i="3"/>
  <c r="K6" i="4"/>
  <c r="H7" i="4"/>
  <c r="I7" i="4"/>
  <c r="F8" i="3" l="1"/>
  <c r="G8" i="3" s="1"/>
  <c r="J7" i="3"/>
  <c r="J7" i="5"/>
  <c r="F8" i="5"/>
  <c r="G8" i="5" s="1"/>
  <c r="L6" i="3"/>
  <c r="L6" i="5"/>
  <c r="F8" i="2"/>
  <c r="G8" i="2" s="1"/>
  <c r="J7" i="2"/>
  <c r="L6" i="2"/>
  <c r="J7" i="4"/>
  <c r="F8" i="4"/>
  <c r="G8" i="4" s="1"/>
  <c r="L6" i="4"/>
  <c r="H8" i="2" l="1"/>
  <c r="I8" i="2" s="1"/>
  <c r="H8" i="5"/>
  <c r="I8" i="5" s="1"/>
  <c r="K7" i="5"/>
  <c r="I8" i="4"/>
  <c r="H8" i="4"/>
  <c r="K7" i="3"/>
  <c r="K7" i="2"/>
  <c r="K7" i="4"/>
  <c r="H8" i="3"/>
  <c r="I8" i="3" s="1"/>
  <c r="J8" i="3" l="1"/>
  <c r="F9" i="3"/>
  <c r="G9" i="3" s="1"/>
  <c r="F9" i="5"/>
  <c r="G9" i="5" s="1"/>
  <c r="J8" i="5"/>
  <c r="F9" i="2"/>
  <c r="G9" i="2" s="1"/>
  <c r="J8" i="2"/>
  <c r="F9" i="4"/>
  <c r="G9" i="4" s="1"/>
  <c r="J8" i="4"/>
  <c r="L7" i="4"/>
  <c r="L7" i="3"/>
  <c r="L7" i="5"/>
  <c r="L7" i="2"/>
  <c r="K8" i="4" l="1"/>
  <c r="H9" i="2"/>
  <c r="I9" i="2" s="1"/>
  <c r="H9" i="3"/>
  <c r="I9" i="3" s="1"/>
  <c r="H9" i="4"/>
  <c r="I9" i="4" s="1"/>
  <c r="K8" i="2"/>
  <c r="K8" i="5"/>
  <c r="H9" i="5"/>
  <c r="I9" i="5" s="1"/>
  <c r="K8" i="3"/>
  <c r="J9" i="5" l="1"/>
  <c r="F10" i="5"/>
  <c r="G10" i="5" s="1"/>
  <c r="F10" i="3"/>
  <c r="G10" i="3" s="1"/>
  <c r="J9" i="3"/>
  <c r="F10" i="4"/>
  <c r="G10" i="4" s="1"/>
  <c r="J9" i="4"/>
  <c r="J9" i="2"/>
  <c r="F10" i="2"/>
  <c r="G10" i="2" s="1"/>
  <c r="L8" i="2"/>
  <c r="L8" i="3"/>
  <c r="L8" i="5"/>
  <c r="L8" i="4"/>
  <c r="H10" i="2" l="1"/>
  <c r="I10" i="2" s="1"/>
  <c r="K9" i="4"/>
  <c r="K9" i="2"/>
  <c r="H10" i="4"/>
  <c r="I10" i="4"/>
  <c r="K9" i="3"/>
  <c r="H10" i="3"/>
  <c r="I10" i="3" s="1"/>
  <c r="H10" i="5"/>
  <c r="I10" i="5" s="1"/>
  <c r="K9" i="5"/>
  <c r="J10" i="3" l="1"/>
  <c r="F11" i="3"/>
  <c r="G11" i="3" s="1"/>
  <c r="F11" i="5"/>
  <c r="G11" i="5" s="1"/>
  <c r="J10" i="5"/>
  <c r="F11" i="2"/>
  <c r="G11" i="2" s="1"/>
  <c r="J10" i="2"/>
  <c r="L9" i="5"/>
  <c r="L9" i="3"/>
  <c r="L9" i="4"/>
  <c r="J10" i="4"/>
  <c r="F11" i="4"/>
  <c r="G11" i="4" s="1"/>
  <c r="L9" i="2"/>
  <c r="H11" i="4" l="1"/>
  <c r="I11" i="4" s="1"/>
  <c r="K10" i="4"/>
  <c r="H11" i="2"/>
  <c r="I11" i="2" s="1"/>
  <c r="H11" i="5"/>
  <c r="I11" i="5" s="1"/>
  <c r="K10" i="5"/>
  <c r="H11" i="3"/>
  <c r="I11" i="3" s="1"/>
  <c r="K10" i="2"/>
  <c r="K10" i="3"/>
  <c r="F12" i="3" l="1"/>
  <c r="G12" i="3" s="1"/>
  <c r="J11" i="3"/>
  <c r="K11" i="3" s="1"/>
  <c r="J11" i="5"/>
  <c r="K11" i="5" s="1"/>
  <c r="F12" i="5"/>
  <c r="G12" i="5" s="1"/>
  <c r="J11" i="2"/>
  <c r="K11" i="2" s="1"/>
  <c r="L11" i="2" s="1"/>
  <c r="F12" i="2"/>
  <c r="G12" i="2" s="1"/>
  <c r="F12" i="4"/>
  <c r="G12" i="4" s="1"/>
  <c r="J11" i="4"/>
  <c r="K11" i="4" s="1"/>
  <c r="L10" i="3"/>
  <c r="L11" i="3"/>
  <c r="L10" i="2"/>
  <c r="L11" i="4"/>
  <c r="L10" i="4"/>
  <c r="L10" i="5"/>
  <c r="L11" i="5"/>
  <c r="H12" i="4" l="1"/>
  <c r="I12" i="4" s="1"/>
  <c r="H12" i="5"/>
  <c r="I12" i="5"/>
  <c r="H12" i="2"/>
  <c r="I12" i="2" s="1"/>
  <c r="H12" i="3"/>
  <c r="I12" i="3"/>
  <c r="F13" i="2" l="1"/>
  <c r="G13" i="2" s="1"/>
  <c r="J12" i="2"/>
  <c r="K12" i="2" s="1"/>
  <c r="L12" i="2" s="1"/>
  <c r="J12" i="4"/>
  <c r="K12" i="4" s="1"/>
  <c r="L12" i="4" s="1"/>
  <c r="F13" i="4"/>
  <c r="G13" i="4" s="1"/>
  <c r="F13" i="3"/>
  <c r="G13" i="3" s="1"/>
  <c r="J12" i="3"/>
  <c r="K12" i="3" s="1"/>
  <c r="L12" i="3" s="1"/>
  <c r="F13" i="5"/>
  <c r="G13" i="5" s="1"/>
  <c r="J12" i="5"/>
  <c r="K12" i="5" s="1"/>
  <c r="L12" i="5" s="1"/>
  <c r="H13" i="5" l="1"/>
  <c r="I13" i="5"/>
  <c r="H13" i="4"/>
  <c r="I13" i="4" s="1"/>
  <c r="H13" i="3"/>
  <c r="I13" i="3" s="1"/>
  <c r="H13" i="2"/>
  <c r="I13" i="2" s="1"/>
  <c r="F14" i="3" l="1"/>
  <c r="G14" i="3" s="1"/>
  <c r="J13" i="3"/>
  <c r="K13" i="3" s="1"/>
  <c r="L13" i="3" s="1"/>
  <c r="F14" i="4"/>
  <c r="G14" i="4" s="1"/>
  <c r="J13" i="4"/>
  <c r="K13" i="4" s="1"/>
  <c r="L13" i="4" s="1"/>
  <c r="J13" i="2"/>
  <c r="K13" i="2" s="1"/>
  <c r="L13" i="2" s="1"/>
  <c r="F14" i="2"/>
  <c r="G14" i="2" s="1"/>
  <c r="F14" i="5"/>
  <c r="G14" i="5" s="1"/>
  <c r="J13" i="5"/>
  <c r="K13" i="5" s="1"/>
  <c r="L13" i="5" s="1"/>
  <c r="H14" i="5" l="1"/>
  <c r="I14" i="5" s="1"/>
  <c r="H14" i="2"/>
  <c r="I14" i="2"/>
  <c r="H14" i="4"/>
  <c r="I14" i="4" s="1"/>
  <c r="H14" i="3"/>
  <c r="I14" i="3" s="1"/>
  <c r="F15" i="3" l="1"/>
  <c r="G15" i="3" s="1"/>
  <c r="J14" i="3"/>
  <c r="K14" i="3" s="1"/>
  <c r="L14" i="3" s="1"/>
  <c r="J14" i="4"/>
  <c r="K14" i="4" s="1"/>
  <c r="L14" i="4" s="1"/>
  <c r="F15" i="4"/>
  <c r="G15" i="4" s="1"/>
  <c r="F15" i="5"/>
  <c r="G15" i="5" s="1"/>
  <c r="J14" i="5"/>
  <c r="K14" i="5" s="1"/>
  <c r="L14" i="5" s="1"/>
  <c r="F15" i="2"/>
  <c r="G15" i="2" s="1"/>
  <c r="J14" i="2"/>
  <c r="K14" i="2" s="1"/>
  <c r="L14" i="2" s="1"/>
  <c r="H15" i="2" l="1"/>
  <c r="I15" i="2" s="1"/>
  <c r="H15" i="5"/>
  <c r="I15" i="5" s="1"/>
  <c r="H15" i="4"/>
  <c r="I15" i="4" s="1"/>
  <c r="H15" i="3"/>
  <c r="I15" i="3" s="1"/>
  <c r="F16" i="4" l="1"/>
  <c r="G16" i="4" s="1"/>
  <c r="J15" i="4"/>
  <c r="K15" i="4" s="1"/>
  <c r="L15" i="4" s="1"/>
  <c r="J15" i="3"/>
  <c r="K15" i="3" s="1"/>
  <c r="L15" i="3" s="1"/>
  <c r="F16" i="3"/>
  <c r="G16" i="3" s="1"/>
  <c r="J15" i="5"/>
  <c r="K15" i="5" s="1"/>
  <c r="L15" i="5" s="1"/>
  <c r="F16" i="5"/>
  <c r="G16" i="5" s="1"/>
  <c r="J15" i="2"/>
  <c r="K15" i="2" s="1"/>
  <c r="L15" i="2" s="1"/>
  <c r="F16" i="2"/>
  <c r="G16" i="2" s="1"/>
  <c r="H16" i="2" l="1"/>
  <c r="I16" i="2" s="1"/>
  <c r="H16" i="5"/>
  <c r="I16" i="5" s="1"/>
  <c r="H16" i="3"/>
  <c r="I16" i="3" s="1"/>
  <c r="H16" i="4"/>
  <c r="I16" i="4" s="1"/>
  <c r="F17" i="3" l="1"/>
  <c r="G17" i="3" s="1"/>
  <c r="J16" i="3"/>
  <c r="K16" i="3" s="1"/>
  <c r="L16" i="3" s="1"/>
  <c r="J16" i="4"/>
  <c r="K16" i="4" s="1"/>
  <c r="L16" i="4" s="1"/>
  <c r="F17" i="4"/>
  <c r="G17" i="4" s="1"/>
  <c r="J16" i="5"/>
  <c r="K16" i="5" s="1"/>
  <c r="L16" i="5" s="1"/>
  <c r="F17" i="5"/>
  <c r="G17" i="5" s="1"/>
  <c r="F17" i="2"/>
  <c r="G17" i="2" s="1"/>
  <c r="J16" i="2"/>
  <c r="K16" i="2" s="1"/>
  <c r="L16" i="2" s="1"/>
  <c r="H17" i="2" l="1"/>
  <c r="I17" i="2" s="1"/>
  <c r="J17" i="2" s="1"/>
  <c r="H17" i="5"/>
  <c r="I17" i="5" s="1"/>
  <c r="J17" i="5" s="1"/>
  <c r="H17" i="4"/>
  <c r="I17" i="4" s="1"/>
  <c r="J17" i="4" s="1"/>
  <c r="H17" i="3"/>
  <c r="I17" i="3" s="1"/>
  <c r="J17" i="3" s="1"/>
  <c r="K17" i="4" l="1"/>
  <c r="K21" i="4"/>
  <c r="D4" i="6" s="1"/>
  <c r="K17" i="5"/>
  <c r="K21" i="5"/>
  <c r="D5" i="6" s="1"/>
  <c r="K17" i="3"/>
  <c r="K21" i="3"/>
  <c r="D3" i="6" s="1"/>
  <c r="K17" i="2"/>
  <c r="K21" i="2"/>
  <c r="D2" i="6" s="1"/>
  <c r="L17" i="2" l="1"/>
  <c r="K20" i="2"/>
  <c r="C2" i="6" s="1"/>
  <c r="K19" i="2"/>
  <c r="B2" i="6" s="1"/>
  <c r="K20" i="3"/>
  <c r="C3" i="6" s="1"/>
  <c r="L17" i="3"/>
  <c r="K19" i="3"/>
  <c r="B3" i="6" s="1"/>
  <c r="K19" i="5"/>
  <c r="B5" i="6" s="1"/>
  <c r="K20" i="5"/>
  <c r="C5" i="6" s="1"/>
  <c r="L17" i="5"/>
  <c r="L17" i="4"/>
  <c r="K20" i="4"/>
  <c r="C4" i="6" s="1"/>
  <c r="K19" i="4"/>
  <c r="B4" i="6" s="1"/>
  <c r="B8" i="6" l="1"/>
  <c r="B7" i="6"/>
</calcChain>
</file>

<file path=xl/sharedStrings.xml><?xml version="1.0" encoding="utf-8"?>
<sst xmlns="http://schemas.openxmlformats.org/spreadsheetml/2006/main" count="95" uniqueCount="30">
  <si>
    <t>Parameter</t>
  </si>
  <si>
    <t>Value</t>
  </si>
  <si>
    <t>Weekly bay cost</t>
  </si>
  <si>
    <t>Overflow cost per car</t>
  </si>
  <si>
    <t>Weeks</t>
  </si>
  <si>
    <t>Deliveries</t>
  </si>
  <si>
    <t>Probability</t>
  </si>
  <si>
    <t>Cumulative</t>
  </si>
  <si>
    <t>Lower bound</t>
  </si>
  <si>
    <t>Demand</t>
  </si>
  <si>
    <t>Week</t>
  </si>
  <si>
    <t>Delivery RN</t>
  </si>
  <si>
    <t>Demand RN</t>
  </si>
  <si>
    <t>Capacities</t>
  </si>
  <si>
    <t>Capacity</t>
  </si>
  <si>
    <t>Bay cost</t>
  </si>
  <si>
    <t>Overflow cost</t>
  </si>
  <si>
    <t>Delivered</t>
  </si>
  <si>
    <t>Opening Stock</t>
  </si>
  <si>
    <t>After Delivery</t>
  </si>
  <si>
    <t>Sales</t>
  </si>
  <si>
    <t>End Stock</t>
  </si>
  <si>
    <t>Overflow</t>
  </si>
  <si>
    <t>Weekly Cost</t>
  </si>
  <si>
    <t>Running Avg</t>
  </si>
  <si>
    <t>Total Cost</t>
  </si>
  <si>
    <t>Average Weekly Cost</t>
  </si>
  <si>
    <t>Overflow Weeks</t>
  </si>
  <si>
    <t>Recommended Capacity</t>
  </si>
  <si>
    <t>Lowest Avg Weekly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</si>
</sst>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1" fillId="3" borderId="1" xfId="0" applyFont="1" applyFill="1" applyBorder="1"/>
    <xf numFmtId="1" fontId="0" fillId="3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/>
    <xf numFmtId="16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defaultRowHeight="14.4" x14ac:dyDescent="0.3"/>
  <cols>
    <col min="1" max="1" width="20" customWidth="1"/>
    <col min="2" max="4" width="14" customWidth="1"/>
    <col min="5" max="5" width="12" customWidth="1"/>
    <col min="6" max="9" width="14" customWidth="1"/>
  </cols>
  <sheetData>
    <row r="1" spans="1:9" x14ac:dyDescent="0.3">
      <c r="A1" s="1" t="s">
        <v>0</v>
      </c>
      <c r="B1" s="1" t="s">
        <v>1</v>
      </c>
    </row>
    <row r="2" spans="1:9" x14ac:dyDescent="0.3">
      <c r="A2" s="2" t="s">
        <v>2</v>
      </c>
      <c r="B2" s="2">
        <v>18</v>
      </c>
    </row>
    <row r="3" spans="1:9" x14ac:dyDescent="0.3">
      <c r="A3" s="2" t="s">
        <v>3</v>
      </c>
      <c r="B3" s="2">
        <v>30</v>
      </c>
    </row>
    <row r="4" spans="1:9" x14ac:dyDescent="0.3">
      <c r="A4" s="2" t="s">
        <v>4</v>
      </c>
      <c r="B4" s="2">
        <v>12</v>
      </c>
    </row>
    <row r="6" spans="1:9" x14ac:dyDescent="0.3">
      <c r="A6" s="3" t="s">
        <v>5</v>
      </c>
      <c r="B6" s="3" t="s">
        <v>6</v>
      </c>
      <c r="C6" s="3" t="s">
        <v>7</v>
      </c>
      <c r="D6" s="3" t="s">
        <v>8</v>
      </c>
      <c r="F6" s="3" t="s">
        <v>9</v>
      </c>
      <c r="G6" s="3" t="s">
        <v>6</v>
      </c>
      <c r="H6" s="3" t="s">
        <v>7</v>
      </c>
      <c r="I6" s="3" t="s">
        <v>8</v>
      </c>
    </row>
    <row r="7" spans="1:9" x14ac:dyDescent="0.3">
      <c r="A7" s="2">
        <v>6</v>
      </c>
      <c r="B7" s="4">
        <v>0.1</v>
      </c>
      <c r="C7" s="4">
        <v>0.1</v>
      </c>
      <c r="D7" s="2">
        <v>0</v>
      </c>
      <c r="F7" s="2">
        <v>5</v>
      </c>
      <c r="G7" s="4">
        <v>0.15</v>
      </c>
      <c r="H7" s="4">
        <v>0.15</v>
      </c>
      <c r="I7" s="2">
        <v>0</v>
      </c>
    </row>
    <row r="8" spans="1:9" x14ac:dyDescent="0.3">
      <c r="A8" s="2">
        <v>7</v>
      </c>
      <c r="B8" s="4">
        <v>0.2</v>
      </c>
      <c r="C8" s="4">
        <v>0.3</v>
      </c>
      <c r="D8" s="4">
        <v>0.1</v>
      </c>
      <c r="F8" s="2">
        <v>6</v>
      </c>
      <c r="G8" s="4">
        <v>0.25</v>
      </c>
      <c r="H8" s="4">
        <v>0.4</v>
      </c>
      <c r="I8" s="4">
        <v>0.15</v>
      </c>
    </row>
    <row r="9" spans="1:9" x14ac:dyDescent="0.3">
      <c r="A9" s="2">
        <v>8</v>
      </c>
      <c r="B9" s="4">
        <v>0.35</v>
      </c>
      <c r="C9" s="4">
        <v>0.65</v>
      </c>
      <c r="D9" s="4">
        <v>0.3</v>
      </c>
      <c r="F9" s="2">
        <v>7</v>
      </c>
      <c r="G9" s="4">
        <v>0.3</v>
      </c>
      <c r="H9" s="4">
        <v>0.7</v>
      </c>
      <c r="I9" s="4">
        <v>0.4</v>
      </c>
    </row>
    <row r="10" spans="1:9" x14ac:dyDescent="0.3">
      <c r="A10" s="2">
        <v>9</v>
      </c>
      <c r="B10" s="4">
        <v>0.25</v>
      </c>
      <c r="C10" s="4">
        <v>0.9</v>
      </c>
      <c r="D10" s="4">
        <v>0.65</v>
      </c>
      <c r="F10" s="2">
        <v>8</v>
      </c>
      <c r="G10" s="4">
        <v>0.2</v>
      </c>
      <c r="H10" s="4">
        <v>0.89999999999999991</v>
      </c>
      <c r="I10" s="4">
        <v>0.7</v>
      </c>
    </row>
    <row r="11" spans="1:9" x14ac:dyDescent="0.3">
      <c r="A11" s="2">
        <v>10</v>
      </c>
      <c r="B11" s="4">
        <v>0.1</v>
      </c>
      <c r="C11" s="2">
        <v>1</v>
      </c>
      <c r="D11" s="4">
        <v>0.9</v>
      </c>
      <c r="F11" s="2">
        <v>9</v>
      </c>
      <c r="G11" s="4">
        <v>0.1</v>
      </c>
      <c r="H11" s="4">
        <v>0.99999999999999989</v>
      </c>
      <c r="I11" s="4">
        <v>0.9</v>
      </c>
    </row>
    <row r="14" spans="1:9" x14ac:dyDescent="0.3">
      <c r="A14" s="3" t="s">
        <v>10</v>
      </c>
      <c r="B14" s="3" t="s">
        <v>11</v>
      </c>
      <c r="C14" s="3" t="s">
        <v>12</v>
      </c>
      <c r="E14" s="3" t="s">
        <v>13</v>
      </c>
    </row>
    <row r="15" spans="1:9" x14ac:dyDescent="0.3">
      <c r="A15" s="2">
        <v>1</v>
      </c>
      <c r="B15" s="4">
        <v>0.11899999999999999</v>
      </c>
      <c r="C15" s="4">
        <v>0.751</v>
      </c>
      <c r="E15" s="2">
        <v>6</v>
      </c>
    </row>
    <row r="16" spans="1:9" x14ac:dyDescent="0.3">
      <c r="A16" s="2">
        <v>2</v>
      </c>
      <c r="B16" s="4">
        <v>0.503</v>
      </c>
      <c r="C16" s="4">
        <v>0.58699999999999997</v>
      </c>
      <c r="E16" s="2">
        <v>7</v>
      </c>
    </row>
    <row r="17" spans="1:5" x14ac:dyDescent="0.3">
      <c r="A17" s="2">
        <v>3</v>
      </c>
      <c r="B17" s="4">
        <v>0.51200000000000001</v>
      </c>
      <c r="C17" s="4">
        <v>0.24</v>
      </c>
      <c r="E17" s="2">
        <v>8</v>
      </c>
    </row>
    <row r="18" spans="1:5" x14ac:dyDescent="0.3">
      <c r="A18" s="2">
        <v>4</v>
      </c>
      <c r="B18" s="4">
        <v>0.86</v>
      </c>
      <c r="C18" s="4">
        <v>0.61399999999999999</v>
      </c>
      <c r="E18" s="2">
        <v>9</v>
      </c>
    </row>
    <row r="19" spans="1:5" x14ac:dyDescent="0.3">
      <c r="A19" s="2">
        <v>5</v>
      </c>
      <c r="B19" s="4">
        <v>0.10299999999999999</v>
      </c>
      <c r="C19" s="4">
        <v>0.111</v>
      </c>
    </row>
    <row r="20" spans="1:5" x14ac:dyDescent="0.3">
      <c r="A20" s="2">
        <v>6</v>
      </c>
      <c r="B20" s="4">
        <v>0.223</v>
      </c>
      <c r="C20" s="4">
        <v>0.81699999999999995</v>
      </c>
    </row>
    <row r="21" spans="1:5" x14ac:dyDescent="0.3">
      <c r="A21" s="2">
        <v>7</v>
      </c>
      <c r="B21" s="4">
        <v>0.60099999999999998</v>
      </c>
      <c r="C21" s="4">
        <v>0.45</v>
      </c>
    </row>
    <row r="22" spans="1:5" x14ac:dyDescent="0.3">
      <c r="A22" s="2">
        <v>8</v>
      </c>
      <c r="B22" s="4">
        <v>0.55700000000000005</v>
      </c>
      <c r="C22" s="4">
        <v>0.81499999999999995</v>
      </c>
    </row>
    <row r="23" spans="1:5" x14ac:dyDescent="0.3">
      <c r="A23" s="2">
        <v>9</v>
      </c>
      <c r="B23" s="4">
        <v>0.78300000000000003</v>
      </c>
      <c r="C23" s="4">
        <v>0.68500000000000005</v>
      </c>
    </row>
    <row r="24" spans="1:5" x14ac:dyDescent="0.3">
      <c r="A24" s="2">
        <v>10</v>
      </c>
      <c r="B24" s="4">
        <v>0.54800000000000004</v>
      </c>
      <c r="C24" s="4">
        <v>0.67900000000000005</v>
      </c>
    </row>
    <row r="25" spans="1:5" x14ac:dyDescent="0.3">
      <c r="A25" s="2">
        <v>11</v>
      </c>
      <c r="B25" s="4">
        <v>0.73099999999999998</v>
      </c>
      <c r="C25" s="4">
        <v>0.21</v>
      </c>
    </row>
    <row r="26" spans="1:5" x14ac:dyDescent="0.3">
      <c r="A26" s="2">
        <v>12</v>
      </c>
      <c r="B26" s="4">
        <v>0.76800000000000002</v>
      </c>
      <c r="C26" s="4">
        <v>0.252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>
      <selection activeCell="F26" sqref="F26"/>
    </sheetView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6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108</v>
      </c>
      <c r="L6" s="6">
        <f>AVERAGE($K$6:K6)</f>
        <v>108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108</v>
      </c>
      <c r="L7" s="6">
        <f>AVERAGE($K$6:K7)</f>
        <v>108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108</v>
      </c>
      <c r="L8" s="6">
        <f>AVERAGE($K$6:K8)</f>
        <v>108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108</v>
      </c>
      <c r="L9" s="6">
        <f>AVERAGE($K$6:K9)</f>
        <v>108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1</v>
      </c>
      <c r="K10" s="5">
        <f t="shared" si="4"/>
        <v>138</v>
      </c>
      <c r="L10" s="6">
        <f>AVERAGE($K$6:K10)</f>
        <v>114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108</v>
      </c>
      <c r="L11" s="6">
        <f>AVERAGE($K$6:K11)</f>
        <v>113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1</v>
      </c>
      <c r="K12" s="5">
        <f t="shared" si="4"/>
        <v>138</v>
      </c>
      <c r="L12" s="6">
        <f>AVERAGE($K$6:K12)</f>
        <v>116.57142857142857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1</v>
      </c>
      <c r="K13" s="5">
        <f t="shared" si="4"/>
        <v>138</v>
      </c>
      <c r="L13" s="6">
        <f>AVERAGE($K$6:K13)</f>
        <v>119.25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3</v>
      </c>
      <c r="K14" s="5">
        <f t="shared" si="4"/>
        <v>198</v>
      </c>
      <c r="L14" s="6">
        <f>AVERAGE($K$6:K14)</f>
        <v>128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4</v>
      </c>
      <c r="K15" s="5">
        <f t="shared" si="4"/>
        <v>228</v>
      </c>
      <c r="L15" s="6">
        <f>AVERAGE($K$6:K15)</f>
        <v>138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7</v>
      </c>
      <c r="K16" s="5">
        <f t="shared" si="4"/>
        <v>318</v>
      </c>
      <c r="L16" s="6">
        <f>AVERAGE($K$6:K16)</f>
        <v>154.36363636363637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10</v>
      </c>
      <c r="K17" s="5">
        <f t="shared" si="4"/>
        <v>408</v>
      </c>
      <c r="L17" s="6">
        <f>AVERAGE($K$6:K17)</f>
        <v>175.5</v>
      </c>
    </row>
    <row r="19" spans="1:12" x14ac:dyDescent="0.3">
      <c r="J19" s="7" t="s">
        <v>25</v>
      </c>
      <c r="K19" s="8">
        <f>SUM(K6:K17)</f>
        <v>2106</v>
      </c>
    </row>
    <row r="20" spans="1:12" x14ac:dyDescent="0.3">
      <c r="J20" s="7" t="s">
        <v>26</v>
      </c>
      <c r="K20" s="9">
        <f>AVERAGE(K6:K17)</f>
        <v>175.5</v>
      </c>
    </row>
    <row r="21" spans="1:12" x14ac:dyDescent="0.3">
      <c r="J21" s="7" t="s">
        <v>27</v>
      </c>
      <c r="K21" s="10">
        <f>COUNTIF(J6:J17,"&gt;0")</f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C6" sqref="C6"/>
    </sheetView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7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126</v>
      </c>
      <c r="L6" s="6">
        <f>AVERAGE($K$6:K6)</f>
        <v>126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126</v>
      </c>
      <c r="L7" s="6">
        <f>AVERAGE($K$6:K7)</f>
        <v>126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126</v>
      </c>
      <c r="L8" s="6">
        <f>AVERAGE($K$6:K8)</f>
        <v>126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126</v>
      </c>
      <c r="L9" s="6">
        <f>AVERAGE($K$6:K9)</f>
        <v>126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0</v>
      </c>
      <c r="K10" s="5">
        <f t="shared" si="4"/>
        <v>126</v>
      </c>
      <c r="L10" s="6">
        <f>AVERAGE($K$6:K10)</f>
        <v>126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126</v>
      </c>
      <c r="L11" s="6">
        <f>AVERAGE($K$6:K11)</f>
        <v>126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0</v>
      </c>
      <c r="K12" s="5">
        <f t="shared" si="4"/>
        <v>126</v>
      </c>
      <c r="L12" s="6">
        <f>AVERAGE($K$6:K12)</f>
        <v>126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0</v>
      </c>
      <c r="K13" s="5">
        <f t="shared" si="4"/>
        <v>126</v>
      </c>
      <c r="L13" s="6">
        <f>AVERAGE($K$6:K13)</f>
        <v>126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2</v>
      </c>
      <c r="K14" s="5">
        <f t="shared" si="4"/>
        <v>186</v>
      </c>
      <c r="L14" s="6">
        <f>AVERAGE($K$6:K14)</f>
        <v>132.66666666666666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3</v>
      </c>
      <c r="K15" s="5">
        <f t="shared" si="4"/>
        <v>216</v>
      </c>
      <c r="L15" s="6">
        <f>AVERAGE($K$6:K15)</f>
        <v>141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6</v>
      </c>
      <c r="K16" s="5">
        <f t="shared" si="4"/>
        <v>306</v>
      </c>
      <c r="L16" s="6">
        <f>AVERAGE($K$6:K16)</f>
        <v>156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9</v>
      </c>
      <c r="K17" s="5">
        <f t="shared" si="4"/>
        <v>396</v>
      </c>
      <c r="L17" s="6">
        <f>AVERAGE($K$6:K17)</f>
        <v>176</v>
      </c>
    </row>
    <row r="19" spans="1:12" x14ac:dyDescent="0.3">
      <c r="J19" s="7" t="s">
        <v>25</v>
      </c>
      <c r="K19" s="8">
        <f>SUM(K6:K17)</f>
        <v>2112</v>
      </c>
    </row>
    <row r="20" spans="1:12" x14ac:dyDescent="0.3">
      <c r="J20" s="7" t="s">
        <v>26</v>
      </c>
      <c r="K20" s="9">
        <f>AVERAGE(K6:K17)</f>
        <v>176</v>
      </c>
    </row>
    <row r="21" spans="1:12" x14ac:dyDescent="0.3">
      <c r="J21" s="7" t="s">
        <v>27</v>
      </c>
      <c r="K21" s="10">
        <f>COUNTIF(J6:J17,"&gt;0")</f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8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144</v>
      </c>
      <c r="L6" s="6">
        <f>AVERAGE($K$6:K6)</f>
        <v>144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144</v>
      </c>
      <c r="L7" s="6">
        <f>AVERAGE($K$6:K7)</f>
        <v>144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144</v>
      </c>
      <c r="L8" s="6">
        <f>AVERAGE($K$6:K8)</f>
        <v>144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144</v>
      </c>
      <c r="L9" s="6">
        <f>AVERAGE($K$6:K9)</f>
        <v>144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0</v>
      </c>
      <c r="K10" s="5">
        <f t="shared" si="4"/>
        <v>144</v>
      </c>
      <c r="L10" s="6">
        <f>AVERAGE($K$6:K10)</f>
        <v>144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144</v>
      </c>
      <c r="L11" s="6">
        <f>AVERAGE($K$6:K11)</f>
        <v>144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0</v>
      </c>
      <c r="K12" s="5">
        <f t="shared" si="4"/>
        <v>144</v>
      </c>
      <c r="L12" s="6">
        <f>AVERAGE($K$6:K12)</f>
        <v>144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0</v>
      </c>
      <c r="K13" s="5">
        <f t="shared" si="4"/>
        <v>144</v>
      </c>
      <c r="L13" s="6">
        <f>AVERAGE($K$6:K13)</f>
        <v>144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1</v>
      </c>
      <c r="K14" s="5">
        <f t="shared" si="4"/>
        <v>174</v>
      </c>
      <c r="L14" s="6">
        <f>AVERAGE($K$6:K14)</f>
        <v>147.33333333333334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2</v>
      </c>
      <c r="K15" s="5">
        <f t="shared" si="4"/>
        <v>204</v>
      </c>
      <c r="L15" s="6">
        <f>AVERAGE($K$6:K15)</f>
        <v>153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5</v>
      </c>
      <c r="K16" s="5">
        <f t="shared" si="4"/>
        <v>294</v>
      </c>
      <c r="L16" s="6">
        <f>AVERAGE($K$6:K16)</f>
        <v>165.81818181818181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8</v>
      </c>
      <c r="K17" s="5">
        <f t="shared" si="4"/>
        <v>384</v>
      </c>
      <c r="L17" s="6">
        <f>AVERAGE($K$6:K17)</f>
        <v>184</v>
      </c>
    </row>
    <row r="19" spans="1:12" x14ac:dyDescent="0.3">
      <c r="J19" s="7" t="s">
        <v>25</v>
      </c>
      <c r="K19" s="8">
        <f>SUM(K6:K17)</f>
        <v>2208</v>
      </c>
    </row>
    <row r="20" spans="1:12" x14ac:dyDescent="0.3">
      <c r="J20" s="7" t="s">
        <v>26</v>
      </c>
      <c r="K20" s="9">
        <f>AVERAGE(K6:K17)</f>
        <v>184</v>
      </c>
    </row>
    <row r="21" spans="1:12" x14ac:dyDescent="0.3">
      <c r="J21" s="7" t="s">
        <v>27</v>
      </c>
      <c r="K21" s="10">
        <f>COUNTIF(J6:J17,"&gt;0")</f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9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162</v>
      </c>
      <c r="L6" s="6">
        <f>AVERAGE($K$6:K6)</f>
        <v>162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162</v>
      </c>
      <c r="L7" s="6">
        <f>AVERAGE($K$6:K7)</f>
        <v>162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162</v>
      </c>
      <c r="L8" s="6">
        <f>AVERAGE($K$6:K8)</f>
        <v>162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162</v>
      </c>
      <c r="L9" s="6">
        <f>AVERAGE($K$6:K9)</f>
        <v>162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0</v>
      </c>
      <c r="K10" s="5">
        <f t="shared" si="4"/>
        <v>162</v>
      </c>
      <c r="L10" s="6">
        <f>AVERAGE($K$6:K10)</f>
        <v>162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162</v>
      </c>
      <c r="L11" s="6">
        <f>AVERAGE($K$6:K11)</f>
        <v>162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0</v>
      </c>
      <c r="K12" s="5">
        <f t="shared" si="4"/>
        <v>162</v>
      </c>
      <c r="L12" s="6">
        <f>AVERAGE($K$6:K12)</f>
        <v>162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0</v>
      </c>
      <c r="K13" s="5">
        <f t="shared" si="4"/>
        <v>162</v>
      </c>
      <c r="L13" s="6">
        <f>AVERAGE($K$6:K13)</f>
        <v>162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0</v>
      </c>
      <c r="K14" s="5">
        <f t="shared" si="4"/>
        <v>162</v>
      </c>
      <c r="L14" s="6">
        <f>AVERAGE($K$6:K14)</f>
        <v>162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1</v>
      </c>
      <c r="K15" s="5">
        <f t="shared" si="4"/>
        <v>192</v>
      </c>
      <c r="L15" s="6">
        <f>AVERAGE($K$6:K15)</f>
        <v>165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4</v>
      </c>
      <c r="K16" s="5">
        <f t="shared" si="4"/>
        <v>282</v>
      </c>
      <c r="L16" s="6">
        <f>AVERAGE($K$6:K16)</f>
        <v>175.63636363636363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7</v>
      </c>
      <c r="K17" s="5">
        <f t="shared" si="4"/>
        <v>372</v>
      </c>
      <c r="L17" s="6">
        <f>AVERAGE($K$6:K17)</f>
        <v>192</v>
      </c>
    </row>
    <row r="19" spans="1:12" x14ac:dyDescent="0.3">
      <c r="J19" s="7" t="s">
        <v>25</v>
      </c>
      <c r="K19" s="8">
        <f>SUM(K6:K17)</f>
        <v>2304</v>
      </c>
    </row>
    <row r="20" spans="1:12" x14ac:dyDescent="0.3">
      <c r="J20" s="7" t="s">
        <v>26</v>
      </c>
      <c r="K20" s="9">
        <f>AVERAGE(K6:K17)</f>
        <v>192</v>
      </c>
    </row>
    <row r="21" spans="1:12" x14ac:dyDescent="0.3">
      <c r="J21" s="7" t="s">
        <v>27</v>
      </c>
      <c r="K21" s="10">
        <f>COUNTIF(J6:J17,"&gt;0")</f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4.4" x14ac:dyDescent="0.3"/>
  <cols>
    <col min="1" max="1" width="24" customWidth="1"/>
    <col min="2" max="2" width="16" customWidth="1"/>
    <col min="3" max="3" width="20" customWidth="1"/>
    <col min="4" max="4" width="14" customWidth="1"/>
  </cols>
  <sheetData>
    <row r="1" spans="1:4" x14ac:dyDescent="0.3">
      <c r="A1" s="1" t="s">
        <v>14</v>
      </c>
      <c r="B1" s="1" t="s">
        <v>25</v>
      </c>
      <c r="C1" s="1" t="s">
        <v>26</v>
      </c>
      <c r="D1" s="1" t="s">
        <v>27</v>
      </c>
    </row>
    <row r="2" spans="1:4" x14ac:dyDescent="0.3">
      <c r="A2" s="2">
        <v>6</v>
      </c>
      <c r="B2" s="5">
        <f>'Q4 Sim 6 Bays'!K19</f>
        <v>2106</v>
      </c>
      <c r="C2" s="6">
        <f>'Q4 Sim 6 Bays'!K20</f>
        <v>175.5</v>
      </c>
      <c r="D2" s="2">
        <f>'Q4 Sim 6 Bays'!K21</f>
        <v>7</v>
      </c>
    </row>
    <row r="3" spans="1:4" x14ac:dyDescent="0.3">
      <c r="A3" s="2">
        <v>7</v>
      </c>
      <c r="B3" s="5">
        <f>'Q4 Sim 7 Bays'!K19</f>
        <v>2112</v>
      </c>
      <c r="C3" s="6">
        <f>'Q4 Sim 7 Bays'!K20</f>
        <v>176</v>
      </c>
      <c r="D3" s="2">
        <f>'Q4 Sim 7 Bays'!K21</f>
        <v>4</v>
      </c>
    </row>
    <row r="4" spans="1:4" x14ac:dyDescent="0.3">
      <c r="A4" s="2">
        <v>8</v>
      </c>
      <c r="B4" s="5">
        <f>'Q4 Sim 8 Bays'!K19</f>
        <v>2208</v>
      </c>
      <c r="C4" s="6">
        <f>'Q4 Sim 8 Bays'!K20</f>
        <v>184</v>
      </c>
      <c r="D4" s="2">
        <f>'Q4 Sim 8 Bays'!K21</f>
        <v>4</v>
      </c>
    </row>
    <row r="5" spans="1:4" x14ac:dyDescent="0.3">
      <c r="A5" s="2">
        <v>9</v>
      </c>
      <c r="B5" s="5">
        <f>'Q4 Sim 9 Bays'!K19</f>
        <v>2304</v>
      </c>
      <c r="C5" s="6">
        <f>'Q4 Sim 9 Bays'!K20</f>
        <v>192</v>
      </c>
      <c r="D5" s="2">
        <f>'Q4 Sim 9 Bays'!K21</f>
        <v>3</v>
      </c>
    </row>
    <row r="7" spans="1:4" x14ac:dyDescent="0.3">
      <c r="A7" s="7" t="s">
        <v>28</v>
      </c>
      <c r="B7" s="7">
        <f>INDEX(A2:A5,MATCH(MIN(C2:C5),C2:C5,0))</f>
        <v>6</v>
      </c>
    </row>
    <row r="8" spans="1:4" x14ac:dyDescent="0.3">
      <c r="A8" s="7" t="s">
        <v>29</v>
      </c>
      <c r="B8" s="11">
        <f>MIN(C2:C5)</f>
        <v>175.5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Q4 Inputs</vt:lpstr>
      <vt:lpstr>Q4 Sim 6 Bays</vt:lpstr>
      <vt:lpstr>Q4 Sim 7 Bays</vt:lpstr>
      <vt:lpstr>Q4 Sim 8 Bays</vt:lpstr>
      <vt:lpstr>Q4 Sim 9 Bays</vt:lpstr>
      <vt:lpstr>Q4 Capacity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2026-05-01T10:56:40Z</dcterms:created>
  <dcterms:modified xsi:type="dcterms:W3CDTF">2026-05-01T11:35:18Z</dcterms:modified>
</cp:coreProperties>
</file>